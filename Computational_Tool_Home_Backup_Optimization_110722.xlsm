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ada\Documents\UT\VW project\Tool\"/>
    </mc:Choice>
  </mc:AlternateContent>
  <xr:revisionPtr revIDLastSave="0" documentId="13_ncr:1_{77E29147-0133-4DE2-B40B-FE02305BC835}" xr6:coauthVersionLast="47" xr6:coauthVersionMax="47" xr10:uidLastSave="{00000000-0000-0000-0000-000000000000}"/>
  <bookViews>
    <workbookView xWindow="-108" yWindow="-108" windowWidth="23256" windowHeight="12456" tabRatio="833" activeTab="1" xr2:uid="{00000000-000D-0000-FFFF-FFFF00000000}"/>
  </bookViews>
  <sheets>
    <sheet name="Glossary" sheetId="13" r:id="rId1"/>
    <sheet name="User Interface" sheetId="1" r:id="rId2"/>
    <sheet name="Calculation Values" sheetId="2" r:id="rId3"/>
    <sheet name="Optimization Results" sheetId="25" r:id="rId4"/>
    <sheet name="A" sheetId="21" r:id="rId5"/>
    <sheet name="b" sheetId="22" r:id="rId6"/>
    <sheet name="c" sheetId="23" r:id="rId7"/>
    <sheet name="List Options" sheetId="4" r:id="rId8"/>
    <sheet name="Actual Home Load Profiles" sheetId="27" r:id="rId9"/>
    <sheet name="PV Profiles" sheetId="28" r:id="rId10"/>
    <sheet name="Temperature Profiles" sheetId="30" r:id="rId11"/>
    <sheet name="HVAC Appliances" sheetId="31" r:id="rId12"/>
    <sheet name="Preferred Appliance Timings" sheetId="3" r:id="rId13"/>
    <sheet name="Preferred Backup Source Timings" sheetId="29" r:id="rId14"/>
  </sheets>
  <definedNames>
    <definedName name="Appliances_List">'List Options'!$D$4:$D$111</definedName>
    <definedName name="Communications_List">'List Options'!$D$4:$D$6</definedName>
    <definedName name="Cooking_List">'List Options'!$D$7:$D$28</definedName>
    <definedName name="Discretionary_Appliances_List">'List Options'!$D$29:$D$52</definedName>
    <definedName name="Entertainment_List">'List Options'!$D$53:$D$69</definedName>
    <definedName name="Food_Preservation_List">'List Options'!$D$70:$D$75</definedName>
    <definedName name="Heating_Cooling_HVAC_List">'List Options'!$D$76:$D$83</definedName>
    <definedName name="Lighting_List">'List Options'!$D$84:$D$87</definedName>
    <definedName name="solver_adj" localSheetId="2" hidden="1">'Calculation Values'!#REF!,'Calculation Values'!#REF!,'Calculation Values'!#REF!</definedName>
    <definedName name="solver_adj" localSheetId="3" hidden="1">'Optimization Results'!$H$7:$H$102,'Optimization Results'!#REF!,'Optimization Results'!#REF!</definedName>
    <definedName name="solver_cvg" localSheetId="2" hidden="1">0.0001</definedName>
    <definedName name="solver_cvg" localSheetId="3" hidden="1">0.0001</definedName>
    <definedName name="solver_drv" localSheetId="2" hidden="1">2</definedName>
    <definedName name="solver_drv" localSheetId="3" hidden="1">2</definedName>
    <definedName name="solver_eng" localSheetId="2" hidden="1">2</definedName>
    <definedName name="solver_eng" localSheetId="3" hidden="1">2</definedName>
    <definedName name="solver_est" localSheetId="2" hidden="1">1</definedName>
    <definedName name="solver_est" localSheetId="3" hidden="1">1</definedName>
    <definedName name="solver_itr" localSheetId="2" hidden="1">2147483647</definedName>
    <definedName name="solver_itr" localSheetId="3" hidden="1">2147483647</definedName>
    <definedName name="solver_lhs1" localSheetId="2" hidden="1">'Calculation Values'!#REF!</definedName>
    <definedName name="solver_lhs1" localSheetId="3" hidden="1">'Optimization Results'!#REF!</definedName>
    <definedName name="solver_lhs2" localSheetId="2" hidden="1">'Calculation Values'!#REF!</definedName>
    <definedName name="solver_lhs2" localSheetId="3" hidden="1">'Optimization Results'!#REF!</definedName>
    <definedName name="solver_lhs3" localSheetId="2" hidden="1">'Calculation Values'!#REF!</definedName>
    <definedName name="solver_lhs3" localSheetId="3" hidden="1">'Optimization Results'!$H$7:$H$102</definedName>
    <definedName name="solver_lhs4" localSheetId="2" hidden="1">'Calculation Values'!#REF!</definedName>
    <definedName name="solver_lhs4" localSheetId="3" hidden="1">'Optimization Results'!#REF!</definedName>
    <definedName name="solver_lhs5" localSheetId="2" hidden="1">'Calculation Values'!#REF!</definedName>
    <definedName name="solver_lhs5" localSheetId="3" hidden="1">'Optimization Results'!#REF!</definedName>
    <definedName name="solver_lhs6" localSheetId="2" hidden="1">'Calculation Values'!#REF!</definedName>
    <definedName name="solver_lhs6" localSheetId="3" hidden="1">'Optimization Results'!#REF!</definedName>
    <definedName name="solver_lhs7" localSheetId="2" hidden="1">'Calculation Values'!#REF!</definedName>
    <definedName name="solver_lhs7" localSheetId="3" hidden="1">'Optimization Results'!#REF!</definedName>
    <definedName name="solver_lhs8" localSheetId="2" hidden="1">'Calculation Values'!$N$7:$N$102</definedName>
    <definedName name="solver_lhs8" localSheetId="3" hidden="1">'Optimization Results'!$N$7:$N$102</definedName>
    <definedName name="solver_mip" localSheetId="2" hidden="1">2147483647</definedName>
    <definedName name="solver_mip" localSheetId="3" hidden="1">2147483647</definedName>
    <definedName name="solver_mni" localSheetId="2" hidden="1">30</definedName>
    <definedName name="solver_mni" localSheetId="3" hidden="1">30</definedName>
    <definedName name="solver_mrt" localSheetId="2" hidden="1">0.075</definedName>
    <definedName name="solver_mrt" localSheetId="3" hidden="1">0.075</definedName>
    <definedName name="solver_msl" localSheetId="2" hidden="1">2</definedName>
    <definedName name="solver_msl" localSheetId="3" hidden="1">2</definedName>
    <definedName name="solver_neg" localSheetId="2" hidden="1">1</definedName>
    <definedName name="solver_neg" localSheetId="3" hidden="1">1</definedName>
    <definedName name="solver_nod" localSheetId="2" hidden="1">2147483647</definedName>
    <definedName name="solver_nod" localSheetId="3" hidden="1">2147483647</definedName>
    <definedName name="solver_num" localSheetId="2" hidden="1">8</definedName>
    <definedName name="solver_num" localSheetId="3" hidden="1">8</definedName>
    <definedName name="solver_nwt" localSheetId="2" hidden="1">1</definedName>
    <definedName name="solver_nwt" localSheetId="3" hidden="1">1</definedName>
    <definedName name="solver_opt" localSheetId="2" hidden="1">'Calculation Values'!$L$3</definedName>
    <definedName name="solver_opt" localSheetId="3" hidden="1">'Optimization Results'!$H$3</definedName>
    <definedName name="solver_pre" localSheetId="2" hidden="1">0.000001</definedName>
    <definedName name="solver_pre" localSheetId="3" hidden="1">0.000001</definedName>
    <definedName name="solver_rbv" localSheetId="2" hidden="1">2</definedName>
    <definedName name="solver_rbv" localSheetId="3" hidden="1">2</definedName>
    <definedName name="solver_rel1" localSheetId="2" hidden="1">2</definedName>
    <definedName name="solver_rel1" localSheetId="3" hidden="1">2</definedName>
    <definedName name="solver_rel2" localSheetId="2" hidden="1">2</definedName>
    <definedName name="solver_rel2" localSheetId="3" hidden="1">2</definedName>
    <definedName name="solver_rel3" localSheetId="2" hidden="1">1</definedName>
    <definedName name="solver_rel3" localSheetId="3" hidden="1">1</definedName>
    <definedName name="solver_rel4" localSheetId="2" hidden="1">1</definedName>
    <definedName name="solver_rel4" localSheetId="3" hidden="1">1</definedName>
    <definedName name="solver_rel5" localSheetId="2" hidden="1">4</definedName>
    <definedName name="solver_rel5" localSheetId="3" hidden="1">4</definedName>
    <definedName name="solver_rel6" localSheetId="2" hidden="1">1</definedName>
    <definedName name="solver_rel6" localSheetId="3" hidden="1">1</definedName>
    <definedName name="solver_rel7" localSheetId="2" hidden="1">4</definedName>
    <definedName name="solver_rel7" localSheetId="3" hidden="1">4</definedName>
    <definedName name="solver_rel8" localSheetId="2" hidden="1">2</definedName>
    <definedName name="solver_rel8" localSheetId="3" hidden="1">2</definedName>
    <definedName name="solver_rhs1" localSheetId="2" hidden="1">0</definedName>
    <definedName name="solver_rhs1" localSheetId="3" hidden="1">0</definedName>
    <definedName name="solver_rhs2" localSheetId="2" hidden="1">0</definedName>
    <definedName name="solver_rhs2" localSheetId="3" hidden="1">0</definedName>
    <definedName name="solver_rhs3" localSheetId="2" hidden="1">1</definedName>
    <definedName name="solver_rhs3" localSheetId="3" hidden="1">1</definedName>
    <definedName name="solver_rhs4" localSheetId="2" hidden="1">1</definedName>
    <definedName name="solver_rhs4" localSheetId="3" hidden="1">1</definedName>
    <definedName name="solver_rhs5" localSheetId="2" hidden="1">"integer"</definedName>
    <definedName name="solver_rhs5" localSheetId="3" hidden="1">"integer"</definedName>
    <definedName name="solver_rhs6" localSheetId="2" hidden="1">1</definedName>
    <definedName name="solver_rhs6" localSheetId="3" hidden="1">1</definedName>
    <definedName name="solver_rhs7" localSheetId="2" hidden="1">"integer"</definedName>
    <definedName name="solver_rhs7" localSheetId="3" hidden="1">"integer"</definedName>
    <definedName name="solver_rhs8" localSheetId="2" hidden="1">0</definedName>
    <definedName name="solver_rhs8" localSheetId="3" hidden="1">0</definedName>
    <definedName name="solver_rlx" localSheetId="2" hidden="1">2</definedName>
    <definedName name="solver_rlx" localSheetId="3" hidden="1">2</definedName>
    <definedName name="solver_rsd" localSheetId="2" hidden="1">0</definedName>
    <definedName name="solver_rsd" localSheetId="3" hidden="1">0</definedName>
    <definedName name="solver_scl" localSheetId="2" hidden="1">2</definedName>
    <definedName name="solver_scl" localSheetId="3" hidden="1">2</definedName>
    <definedName name="solver_sho" localSheetId="2" hidden="1">2</definedName>
    <definedName name="solver_sho" localSheetId="3" hidden="1">2</definedName>
    <definedName name="solver_ssz" localSheetId="2" hidden="1">100</definedName>
    <definedName name="solver_ssz" localSheetId="3" hidden="1">100</definedName>
    <definedName name="solver_tim" localSheetId="2" hidden="1">2147483647</definedName>
    <definedName name="solver_tim" localSheetId="3" hidden="1">2147483647</definedName>
    <definedName name="solver_tol" localSheetId="2" hidden="1">0.01</definedName>
    <definedName name="solver_tol" localSheetId="3" hidden="1">0.01</definedName>
    <definedName name="solver_typ" localSheetId="2" hidden="1">2</definedName>
    <definedName name="solver_typ" localSheetId="3" hidden="1">2</definedName>
    <definedName name="solver_val" localSheetId="2" hidden="1">0</definedName>
    <definedName name="solver_val" localSheetId="3" hidden="1">0</definedName>
    <definedName name="solver_ver" localSheetId="2" hidden="1">3</definedName>
    <definedName name="solver_ver" localSheetId="3" hidden="1">3</definedName>
    <definedName name="Water_Wastewater_List">'List Options'!$D$88:$D$111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9" i="1" l="1"/>
  <c r="Q8" i="1"/>
  <c r="Q7" i="1"/>
  <c r="Q5" i="1"/>
  <c r="F61" i="1"/>
  <c r="Q7" i="2" l="1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7" i="2"/>
  <c r="H85" i="1"/>
  <c r="H51" i="1"/>
  <c r="V3" i="2"/>
  <c r="V4" i="2" s="1"/>
  <c r="B41" i="4"/>
  <c r="B40" i="4" s="1"/>
  <c r="S3" i="2"/>
  <c r="S4" i="2" s="1"/>
  <c r="F51" i="1"/>
  <c r="D3" i="31"/>
  <c r="B3" i="31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7" i="2"/>
  <c r="AK87" i="30"/>
  <c r="AK75" i="30"/>
  <c r="AK71" i="30"/>
  <c r="AK55" i="30"/>
  <c r="AK43" i="30"/>
  <c r="AK39" i="30"/>
  <c r="AK23" i="30"/>
  <c r="AK11" i="30"/>
  <c r="AK7" i="30"/>
  <c r="AK51" i="30"/>
  <c r="AK19" i="30"/>
  <c r="AK98" i="30"/>
  <c r="AK67" i="30"/>
  <c r="AK35" i="30"/>
  <c r="EJ6" i="31"/>
  <c r="EJ7" i="31"/>
  <c r="EJ8" i="31"/>
  <c r="EJ9" i="31"/>
  <c r="EJ10" i="31"/>
  <c r="EJ11" i="31"/>
  <c r="EJ12" i="31"/>
  <c r="EJ13" i="31"/>
  <c r="EJ14" i="31"/>
  <c r="EJ15" i="31"/>
  <c r="EJ16" i="31"/>
  <c r="EJ17" i="31"/>
  <c r="EJ18" i="31"/>
  <c r="EJ19" i="31"/>
  <c r="EJ20" i="31"/>
  <c r="EJ21" i="31"/>
  <c r="EJ22" i="31"/>
  <c r="EJ23" i="31"/>
  <c r="EJ24" i="31"/>
  <c r="EJ25" i="31"/>
  <c r="EJ26" i="31"/>
  <c r="EJ27" i="31"/>
  <c r="EJ28" i="31"/>
  <c r="EJ29" i="31"/>
  <c r="EJ30" i="31"/>
  <c r="EJ31" i="31"/>
  <c r="EJ32" i="31"/>
  <c r="EJ33" i="31"/>
  <c r="EJ34" i="31"/>
  <c r="EJ35" i="31"/>
  <c r="EJ36" i="31"/>
  <c r="EJ37" i="31"/>
  <c r="EJ38" i="31"/>
  <c r="EJ39" i="31"/>
  <c r="EJ40" i="31"/>
  <c r="EJ41" i="31"/>
  <c r="EJ42" i="31"/>
  <c r="EJ43" i="31"/>
  <c r="EJ44" i="31"/>
  <c r="EJ45" i="31"/>
  <c r="EJ46" i="31"/>
  <c r="EJ47" i="31"/>
  <c r="EJ48" i="31"/>
  <c r="EJ49" i="31"/>
  <c r="EJ50" i="31"/>
  <c r="EJ51" i="31"/>
  <c r="EJ52" i="31"/>
  <c r="EJ53" i="31"/>
  <c r="EJ54" i="31"/>
  <c r="EJ55" i="31"/>
  <c r="EJ56" i="31"/>
  <c r="EJ57" i="31"/>
  <c r="EJ58" i="31"/>
  <c r="EJ59" i="31"/>
  <c r="EJ60" i="31"/>
  <c r="EJ61" i="31"/>
  <c r="EJ62" i="31"/>
  <c r="EJ63" i="31"/>
  <c r="EJ64" i="31"/>
  <c r="EJ65" i="31"/>
  <c r="EJ66" i="31"/>
  <c r="EJ67" i="31"/>
  <c r="EJ68" i="31"/>
  <c r="EJ69" i="31"/>
  <c r="EJ70" i="31"/>
  <c r="EJ71" i="31"/>
  <c r="EJ72" i="31"/>
  <c r="EJ73" i="31"/>
  <c r="EJ74" i="31"/>
  <c r="EJ75" i="31"/>
  <c r="EJ76" i="31"/>
  <c r="EJ77" i="31"/>
  <c r="EJ78" i="31"/>
  <c r="EJ79" i="31"/>
  <c r="EJ80" i="31"/>
  <c r="EJ81" i="31"/>
  <c r="EJ82" i="31"/>
  <c r="EJ83" i="31"/>
  <c r="EJ84" i="31"/>
  <c r="EJ85" i="31"/>
  <c r="EJ86" i="31"/>
  <c r="EJ87" i="31"/>
  <c r="EJ88" i="31"/>
  <c r="EJ89" i="31"/>
  <c r="EJ90" i="31"/>
  <c r="EJ91" i="31"/>
  <c r="EJ92" i="31"/>
  <c r="EJ93" i="31"/>
  <c r="EJ94" i="31"/>
  <c r="EJ95" i="31"/>
  <c r="EJ96" i="31"/>
  <c r="EJ97" i="31"/>
  <c r="EJ98" i="31"/>
  <c r="EJ99" i="31"/>
  <c r="EJ100" i="31"/>
  <c r="EJ5" i="31"/>
  <c r="EC6" i="31"/>
  <c r="EC7" i="31"/>
  <c r="EC8" i="31"/>
  <c r="EC9" i="31"/>
  <c r="EC10" i="31"/>
  <c r="EC11" i="31"/>
  <c r="EC12" i="31"/>
  <c r="EC13" i="31"/>
  <c r="EC14" i="31"/>
  <c r="EC15" i="31"/>
  <c r="EC16" i="31"/>
  <c r="EC17" i="31"/>
  <c r="EC18" i="31"/>
  <c r="EC19" i="31"/>
  <c r="EC20" i="31"/>
  <c r="EC21" i="31"/>
  <c r="EC22" i="31"/>
  <c r="EC23" i="31"/>
  <c r="EC24" i="31"/>
  <c r="EC25" i="31"/>
  <c r="EC26" i="31"/>
  <c r="EC27" i="31"/>
  <c r="EC28" i="31"/>
  <c r="EC29" i="31"/>
  <c r="EC30" i="31"/>
  <c r="EC31" i="31"/>
  <c r="EC32" i="31"/>
  <c r="EC33" i="31"/>
  <c r="EC34" i="31"/>
  <c r="EC35" i="31"/>
  <c r="EC36" i="31"/>
  <c r="EC37" i="31"/>
  <c r="EC38" i="31"/>
  <c r="EC39" i="31"/>
  <c r="EC40" i="31"/>
  <c r="EC41" i="31"/>
  <c r="EC42" i="31"/>
  <c r="EC43" i="31"/>
  <c r="EC44" i="31"/>
  <c r="EC45" i="31"/>
  <c r="EC46" i="31"/>
  <c r="EC47" i="31"/>
  <c r="EC48" i="31"/>
  <c r="EC49" i="31"/>
  <c r="EC50" i="31"/>
  <c r="EC51" i="31"/>
  <c r="EC52" i="31"/>
  <c r="EC53" i="31"/>
  <c r="EC54" i="31"/>
  <c r="EC55" i="31"/>
  <c r="EC56" i="31"/>
  <c r="EC57" i="31"/>
  <c r="EC58" i="31"/>
  <c r="EC59" i="31"/>
  <c r="EC60" i="31"/>
  <c r="EC61" i="31"/>
  <c r="EC62" i="31"/>
  <c r="EC63" i="31"/>
  <c r="EC64" i="31"/>
  <c r="EC65" i="31"/>
  <c r="EC66" i="31"/>
  <c r="EC67" i="31"/>
  <c r="EC68" i="31"/>
  <c r="EC69" i="31"/>
  <c r="EC70" i="31"/>
  <c r="EC71" i="31"/>
  <c r="EC72" i="31"/>
  <c r="EC73" i="31"/>
  <c r="EC74" i="31"/>
  <c r="EC75" i="31"/>
  <c r="EC76" i="31"/>
  <c r="EC77" i="31"/>
  <c r="EC78" i="31"/>
  <c r="EC79" i="31"/>
  <c r="EC80" i="31"/>
  <c r="EC81" i="31"/>
  <c r="EC82" i="31"/>
  <c r="EC83" i="31"/>
  <c r="EC84" i="31"/>
  <c r="EC85" i="31"/>
  <c r="EC86" i="31"/>
  <c r="EC87" i="31"/>
  <c r="EC88" i="31"/>
  <c r="EC89" i="31"/>
  <c r="EC90" i="31"/>
  <c r="EC91" i="31"/>
  <c r="EC92" i="31"/>
  <c r="EC93" i="31"/>
  <c r="EC94" i="31"/>
  <c r="EC95" i="31"/>
  <c r="EC96" i="31"/>
  <c r="EC97" i="31"/>
  <c r="EC98" i="31"/>
  <c r="EC99" i="31"/>
  <c r="EC100" i="31"/>
  <c r="EC5" i="31"/>
  <c r="CN6" i="31"/>
  <c r="CN7" i="31"/>
  <c r="CN8" i="31"/>
  <c r="CN9" i="31"/>
  <c r="CN10" i="31"/>
  <c r="CN11" i="31"/>
  <c r="CN12" i="31"/>
  <c r="CN13" i="31"/>
  <c r="CN14" i="31"/>
  <c r="CN15" i="31"/>
  <c r="CN16" i="31"/>
  <c r="CN17" i="31"/>
  <c r="CN18" i="31"/>
  <c r="CN19" i="31"/>
  <c r="CN20" i="31"/>
  <c r="CN21" i="31"/>
  <c r="CN22" i="31"/>
  <c r="CN23" i="31"/>
  <c r="CN24" i="31"/>
  <c r="CN25" i="31"/>
  <c r="CN26" i="31"/>
  <c r="CN27" i="31"/>
  <c r="CN28" i="31"/>
  <c r="CN29" i="31"/>
  <c r="CN30" i="31"/>
  <c r="CN31" i="31"/>
  <c r="CN32" i="31"/>
  <c r="CN33" i="31"/>
  <c r="CN34" i="31"/>
  <c r="CN35" i="31"/>
  <c r="CN36" i="31"/>
  <c r="CN37" i="31"/>
  <c r="CN38" i="31"/>
  <c r="CN39" i="31"/>
  <c r="CN40" i="31"/>
  <c r="CN41" i="31"/>
  <c r="CN42" i="31"/>
  <c r="CN43" i="31"/>
  <c r="CN44" i="31"/>
  <c r="CN45" i="31"/>
  <c r="CN46" i="31"/>
  <c r="CN47" i="31"/>
  <c r="CN48" i="31"/>
  <c r="CN49" i="31"/>
  <c r="CN50" i="31"/>
  <c r="CN51" i="31"/>
  <c r="CN52" i="31"/>
  <c r="CN53" i="31"/>
  <c r="CN54" i="31"/>
  <c r="CN55" i="31"/>
  <c r="CN56" i="31"/>
  <c r="CN57" i="31"/>
  <c r="CN58" i="31"/>
  <c r="CN59" i="31"/>
  <c r="CN60" i="31"/>
  <c r="CN61" i="31"/>
  <c r="CN62" i="31"/>
  <c r="CN63" i="31"/>
  <c r="CN64" i="31"/>
  <c r="CN65" i="31"/>
  <c r="CN66" i="31"/>
  <c r="CN67" i="31"/>
  <c r="CN68" i="31"/>
  <c r="CN69" i="31"/>
  <c r="CN70" i="31"/>
  <c r="CN71" i="31"/>
  <c r="CN72" i="31"/>
  <c r="CN73" i="31"/>
  <c r="CN74" i="31"/>
  <c r="CN75" i="31"/>
  <c r="CN76" i="31"/>
  <c r="CN77" i="31"/>
  <c r="CN78" i="31"/>
  <c r="CN79" i="31"/>
  <c r="CN80" i="31"/>
  <c r="CN81" i="31"/>
  <c r="CN82" i="31"/>
  <c r="CN83" i="31"/>
  <c r="CN84" i="31"/>
  <c r="CN85" i="31"/>
  <c r="CN86" i="31"/>
  <c r="CN87" i="31"/>
  <c r="CN88" i="31"/>
  <c r="CN89" i="31"/>
  <c r="CN90" i="31"/>
  <c r="CN91" i="31"/>
  <c r="CN92" i="31"/>
  <c r="CN93" i="31"/>
  <c r="CN94" i="31"/>
  <c r="CN95" i="31"/>
  <c r="CN96" i="31"/>
  <c r="CN97" i="31"/>
  <c r="CN98" i="31"/>
  <c r="CN99" i="31"/>
  <c r="CN100" i="31"/>
  <c r="CN5" i="31"/>
  <c r="CG6" i="31"/>
  <c r="CG7" i="31"/>
  <c r="CG8" i="31"/>
  <c r="CG9" i="31"/>
  <c r="CG10" i="31"/>
  <c r="CG11" i="31"/>
  <c r="CG12" i="31"/>
  <c r="CG13" i="31"/>
  <c r="CG14" i="31"/>
  <c r="CG15" i="31"/>
  <c r="CG16" i="31"/>
  <c r="CG17" i="31"/>
  <c r="CG18" i="31"/>
  <c r="CG19" i="31"/>
  <c r="CG20" i="31"/>
  <c r="CG21" i="31"/>
  <c r="CG22" i="31"/>
  <c r="CG23" i="31"/>
  <c r="CG24" i="31"/>
  <c r="CG25" i="31"/>
  <c r="CG26" i="31"/>
  <c r="CG27" i="31"/>
  <c r="CG28" i="31"/>
  <c r="CG29" i="31"/>
  <c r="CG30" i="31"/>
  <c r="CG31" i="31"/>
  <c r="CG32" i="31"/>
  <c r="CG33" i="31"/>
  <c r="CG34" i="31"/>
  <c r="CG35" i="31"/>
  <c r="CG36" i="31"/>
  <c r="CG37" i="31"/>
  <c r="CG38" i="31"/>
  <c r="CG39" i="31"/>
  <c r="CG40" i="31"/>
  <c r="CG41" i="31"/>
  <c r="CG42" i="31"/>
  <c r="CG43" i="31"/>
  <c r="CG44" i="31"/>
  <c r="CG45" i="31"/>
  <c r="CG46" i="31"/>
  <c r="CG47" i="31"/>
  <c r="CG48" i="31"/>
  <c r="CG49" i="31"/>
  <c r="CG50" i="31"/>
  <c r="CG51" i="31"/>
  <c r="CG52" i="31"/>
  <c r="CG53" i="31"/>
  <c r="CG54" i="31"/>
  <c r="CG55" i="31"/>
  <c r="CG56" i="31"/>
  <c r="CG57" i="31"/>
  <c r="CG58" i="31"/>
  <c r="CG59" i="31"/>
  <c r="CG60" i="31"/>
  <c r="CG61" i="31"/>
  <c r="CG62" i="31"/>
  <c r="CG63" i="31"/>
  <c r="CG64" i="31"/>
  <c r="CG65" i="31"/>
  <c r="CG66" i="31"/>
  <c r="CG67" i="31"/>
  <c r="CG68" i="31"/>
  <c r="CG69" i="31"/>
  <c r="CG70" i="31"/>
  <c r="CG71" i="31"/>
  <c r="CG72" i="31"/>
  <c r="CG73" i="31"/>
  <c r="CG74" i="31"/>
  <c r="CG75" i="31"/>
  <c r="CG76" i="31"/>
  <c r="CG77" i="31"/>
  <c r="CG78" i="31"/>
  <c r="CG79" i="31"/>
  <c r="CG80" i="31"/>
  <c r="CG81" i="31"/>
  <c r="CG82" i="31"/>
  <c r="CG83" i="31"/>
  <c r="CG84" i="31"/>
  <c r="CG85" i="31"/>
  <c r="CG86" i="31"/>
  <c r="CG87" i="31"/>
  <c r="CG88" i="31"/>
  <c r="CG89" i="31"/>
  <c r="CG90" i="31"/>
  <c r="CG91" i="31"/>
  <c r="CG92" i="31"/>
  <c r="CG93" i="31"/>
  <c r="CG94" i="31"/>
  <c r="CG95" i="31"/>
  <c r="CG96" i="31"/>
  <c r="CG97" i="31"/>
  <c r="CG98" i="31"/>
  <c r="CG99" i="31"/>
  <c r="CG100" i="31"/>
  <c r="CG5" i="31"/>
  <c r="AR15" i="31"/>
  <c r="AR6" i="31"/>
  <c r="AR7" i="31"/>
  <c r="AR8" i="31"/>
  <c r="AR9" i="31"/>
  <c r="AR10" i="31"/>
  <c r="AR11" i="31"/>
  <c r="AR12" i="31"/>
  <c r="AR13" i="31"/>
  <c r="AR14" i="31"/>
  <c r="AR16" i="31"/>
  <c r="AR17" i="31"/>
  <c r="AR18" i="31"/>
  <c r="AR19" i="31"/>
  <c r="AR20" i="31"/>
  <c r="AR21" i="31"/>
  <c r="AR22" i="31"/>
  <c r="AR23" i="31"/>
  <c r="AR24" i="31"/>
  <c r="AR25" i="31"/>
  <c r="AR26" i="31"/>
  <c r="AR27" i="31"/>
  <c r="AR28" i="31"/>
  <c r="AR29" i="31"/>
  <c r="AR30" i="31"/>
  <c r="AR31" i="31"/>
  <c r="AR32" i="31"/>
  <c r="AR33" i="31"/>
  <c r="AR34" i="31"/>
  <c r="AR35" i="31"/>
  <c r="AR36" i="31"/>
  <c r="AR37" i="31"/>
  <c r="AR38" i="31"/>
  <c r="AR39" i="31"/>
  <c r="AR40" i="31"/>
  <c r="AR41" i="31"/>
  <c r="AR42" i="31"/>
  <c r="AR43" i="31"/>
  <c r="AR44" i="31"/>
  <c r="AR45" i="31"/>
  <c r="AR46" i="31"/>
  <c r="AR47" i="31"/>
  <c r="AR48" i="31"/>
  <c r="AR49" i="31"/>
  <c r="AR50" i="31"/>
  <c r="AR51" i="31"/>
  <c r="AR52" i="31"/>
  <c r="AR53" i="31"/>
  <c r="AR54" i="31"/>
  <c r="AR55" i="31"/>
  <c r="AR56" i="31"/>
  <c r="AR57" i="31"/>
  <c r="AR58" i="31"/>
  <c r="AR59" i="31"/>
  <c r="AR60" i="31"/>
  <c r="AR61" i="31"/>
  <c r="AR62" i="31"/>
  <c r="AR63" i="31"/>
  <c r="AR64" i="31"/>
  <c r="AR65" i="31"/>
  <c r="AR66" i="31"/>
  <c r="AR67" i="31"/>
  <c r="AR68" i="31"/>
  <c r="AR69" i="31"/>
  <c r="AR70" i="31"/>
  <c r="AR71" i="31"/>
  <c r="AR72" i="31"/>
  <c r="AR73" i="31"/>
  <c r="AR74" i="31"/>
  <c r="AR75" i="31"/>
  <c r="AR76" i="31"/>
  <c r="AR77" i="31"/>
  <c r="AR78" i="31"/>
  <c r="AR79" i="31"/>
  <c r="AR80" i="31"/>
  <c r="AR81" i="31"/>
  <c r="AR82" i="31"/>
  <c r="AR83" i="31"/>
  <c r="AR84" i="31"/>
  <c r="AR85" i="31"/>
  <c r="AR86" i="31"/>
  <c r="AR87" i="31"/>
  <c r="AR88" i="31"/>
  <c r="AR89" i="31"/>
  <c r="AR90" i="31"/>
  <c r="AR91" i="31"/>
  <c r="AR92" i="31"/>
  <c r="AR93" i="31"/>
  <c r="AR94" i="31"/>
  <c r="AR95" i="31"/>
  <c r="AR96" i="31"/>
  <c r="AR97" i="31"/>
  <c r="AR98" i="31"/>
  <c r="AR99" i="31"/>
  <c r="AR100" i="31"/>
  <c r="AR5" i="31"/>
  <c r="AK6" i="31"/>
  <c r="AK7" i="31"/>
  <c r="AK8" i="31"/>
  <c r="AK9" i="31"/>
  <c r="AK10" i="31"/>
  <c r="AK11" i="31"/>
  <c r="AK12" i="31"/>
  <c r="AK13" i="31"/>
  <c r="AK14" i="31"/>
  <c r="AK15" i="31"/>
  <c r="AK16" i="31"/>
  <c r="AK17" i="31"/>
  <c r="AK18" i="31"/>
  <c r="AK19" i="31"/>
  <c r="AK20" i="31"/>
  <c r="AK21" i="31"/>
  <c r="AK22" i="31"/>
  <c r="AK23" i="31"/>
  <c r="AK24" i="31"/>
  <c r="AK25" i="31"/>
  <c r="AK26" i="31"/>
  <c r="AK27" i="31"/>
  <c r="AK28" i="31"/>
  <c r="AK29" i="31"/>
  <c r="AK30" i="31"/>
  <c r="AK31" i="31"/>
  <c r="AK32" i="31"/>
  <c r="AK33" i="31"/>
  <c r="AK34" i="31"/>
  <c r="AK35" i="31"/>
  <c r="AK36" i="31"/>
  <c r="AK37" i="31"/>
  <c r="AK38" i="31"/>
  <c r="AK39" i="31"/>
  <c r="AK40" i="31"/>
  <c r="AK41" i="31"/>
  <c r="AK42" i="31"/>
  <c r="AK43" i="31"/>
  <c r="AK44" i="31"/>
  <c r="AK45" i="31"/>
  <c r="AK46" i="31"/>
  <c r="AK47" i="31"/>
  <c r="AK48" i="31"/>
  <c r="AK49" i="31"/>
  <c r="AK50" i="31"/>
  <c r="AK51" i="31"/>
  <c r="AK52" i="31"/>
  <c r="AK53" i="31"/>
  <c r="AK54" i="31"/>
  <c r="AK55" i="31"/>
  <c r="AK56" i="31"/>
  <c r="AK57" i="31"/>
  <c r="AK58" i="31"/>
  <c r="AK59" i="31"/>
  <c r="AK60" i="31"/>
  <c r="AK61" i="31"/>
  <c r="AK62" i="31"/>
  <c r="AK63" i="31"/>
  <c r="AK64" i="31"/>
  <c r="AK65" i="31"/>
  <c r="AK66" i="31"/>
  <c r="AK67" i="31"/>
  <c r="AK68" i="31"/>
  <c r="AK69" i="31"/>
  <c r="AK70" i="31"/>
  <c r="AK71" i="31"/>
  <c r="AK72" i="31"/>
  <c r="AK73" i="31"/>
  <c r="AK74" i="31"/>
  <c r="AK75" i="31"/>
  <c r="AK76" i="31"/>
  <c r="AK77" i="31"/>
  <c r="AK78" i="31"/>
  <c r="AK79" i="31"/>
  <c r="AK80" i="31"/>
  <c r="AK81" i="31"/>
  <c r="AK82" i="31"/>
  <c r="AK83" i="31"/>
  <c r="AK84" i="31"/>
  <c r="AK85" i="31"/>
  <c r="AK86" i="31"/>
  <c r="AK87" i="31"/>
  <c r="AK88" i="31"/>
  <c r="AK89" i="31"/>
  <c r="AK90" i="31"/>
  <c r="AK91" i="31"/>
  <c r="AK92" i="31"/>
  <c r="AK93" i="31"/>
  <c r="AK94" i="31"/>
  <c r="AK95" i="31"/>
  <c r="AK96" i="31"/>
  <c r="AK97" i="31"/>
  <c r="AK98" i="31"/>
  <c r="AK99" i="31"/>
  <c r="AK100" i="31"/>
  <c r="AK5" i="31"/>
  <c r="L101" i="27"/>
  <c r="AG101" i="27"/>
  <c r="AP99" i="30"/>
  <c r="AF99" i="30"/>
  <c r="AA99" i="30"/>
  <c r="V99" i="30"/>
  <c r="Q99" i="30"/>
  <c r="L99" i="30"/>
  <c r="G99" i="30"/>
  <c r="AP98" i="30"/>
  <c r="AF98" i="30"/>
  <c r="AA98" i="30"/>
  <c r="V98" i="30"/>
  <c r="Q98" i="30"/>
  <c r="L98" i="30"/>
  <c r="G98" i="30"/>
  <c r="AP97" i="30"/>
  <c r="AF97" i="30"/>
  <c r="AA97" i="30"/>
  <c r="V97" i="30"/>
  <c r="Q97" i="30"/>
  <c r="L97" i="30"/>
  <c r="G97" i="30"/>
  <c r="AP96" i="30"/>
  <c r="AF96" i="30"/>
  <c r="AA96" i="30"/>
  <c r="V96" i="30"/>
  <c r="Q96" i="30"/>
  <c r="L96" i="30"/>
  <c r="G96" i="30"/>
  <c r="AP95" i="30"/>
  <c r="AK95" i="30"/>
  <c r="AF95" i="30"/>
  <c r="AA95" i="30"/>
  <c r="V95" i="30"/>
  <c r="Q95" i="30"/>
  <c r="L95" i="30"/>
  <c r="G95" i="30"/>
  <c r="AP94" i="30"/>
  <c r="AK94" i="30"/>
  <c r="AF94" i="30"/>
  <c r="AA94" i="30"/>
  <c r="V94" i="30"/>
  <c r="Q94" i="30"/>
  <c r="L94" i="30"/>
  <c r="G94" i="30"/>
  <c r="AP93" i="30"/>
  <c r="AK93" i="30"/>
  <c r="AF93" i="30"/>
  <c r="AA93" i="30"/>
  <c r="V93" i="30"/>
  <c r="Q93" i="30"/>
  <c r="L93" i="30"/>
  <c r="G93" i="30"/>
  <c r="AP92" i="30"/>
  <c r="AK92" i="30"/>
  <c r="AF92" i="30"/>
  <c r="AA92" i="30"/>
  <c r="V92" i="30"/>
  <c r="Q92" i="30"/>
  <c r="L92" i="30"/>
  <c r="G92" i="30"/>
  <c r="AP91" i="30"/>
  <c r="AK91" i="30"/>
  <c r="AF91" i="30"/>
  <c r="AA91" i="30"/>
  <c r="V91" i="30"/>
  <c r="Q91" i="30"/>
  <c r="L91" i="30"/>
  <c r="G91" i="30"/>
  <c r="AP90" i="30"/>
  <c r="AK90" i="30"/>
  <c r="AF90" i="30"/>
  <c r="AA90" i="30"/>
  <c r="V90" i="30"/>
  <c r="Q90" i="30"/>
  <c r="L90" i="30"/>
  <c r="G90" i="30"/>
  <c r="AP89" i="30"/>
  <c r="AK89" i="30"/>
  <c r="AF89" i="30"/>
  <c r="AA89" i="30"/>
  <c r="V89" i="30"/>
  <c r="Q89" i="30"/>
  <c r="L89" i="30"/>
  <c r="G89" i="30"/>
  <c r="AP88" i="30"/>
  <c r="AK88" i="30"/>
  <c r="AF88" i="30"/>
  <c r="AA88" i="30"/>
  <c r="V88" i="30"/>
  <c r="Q88" i="30"/>
  <c r="L88" i="30"/>
  <c r="G88" i="30"/>
  <c r="AP87" i="30"/>
  <c r="AF87" i="30"/>
  <c r="AA87" i="30"/>
  <c r="V87" i="30"/>
  <c r="Q87" i="30"/>
  <c r="L87" i="30"/>
  <c r="G87" i="30"/>
  <c r="AP86" i="30"/>
  <c r="AF86" i="30"/>
  <c r="AA86" i="30"/>
  <c r="V86" i="30"/>
  <c r="Q86" i="30"/>
  <c r="L86" i="30"/>
  <c r="G86" i="30"/>
  <c r="AP85" i="30"/>
  <c r="AF85" i="30"/>
  <c r="AA85" i="30"/>
  <c r="V85" i="30"/>
  <c r="Q85" i="30"/>
  <c r="L85" i="30"/>
  <c r="G85" i="30"/>
  <c r="AP84" i="30"/>
  <c r="AF84" i="30"/>
  <c r="AA84" i="30"/>
  <c r="V84" i="30"/>
  <c r="Q84" i="30"/>
  <c r="L84" i="30"/>
  <c r="G84" i="30"/>
  <c r="AP83" i="30"/>
  <c r="AK83" i="30"/>
  <c r="AF83" i="30"/>
  <c r="AA83" i="30"/>
  <c r="V83" i="30"/>
  <c r="Q83" i="30"/>
  <c r="L83" i="30"/>
  <c r="G83" i="30"/>
  <c r="AP82" i="30"/>
  <c r="AK82" i="30"/>
  <c r="AF82" i="30"/>
  <c r="AA82" i="30"/>
  <c r="V82" i="30"/>
  <c r="Q82" i="30"/>
  <c r="L82" i="30"/>
  <c r="G82" i="30"/>
  <c r="AP81" i="30"/>
  <c r="AK81" i="30"/>
  <c r="AF81" i="30"/>
  <c r="AA81" i="30"/>
  <c r="V81" i="30"/>
  <c r="Q81" i="30"/>
  <c r="L81" i="30"/>
  <c r="G81" i="30"/>
  <c r="AP80" i="30"/>
  <c r="AK80" i="30"/>
  <c r="AF80" i="30"/>
  <c r="AA80" i="30"/>
  <c r="V80" i="30"/>
  <c r="Q80" i="30"/>
  <c r="L80" i="30"/>
  <c r="G80" i="30"/>
  <c r="AP79" i="30"/>
  <c r="AK79" i="30"/>
  <c r="AF79" i="30"/>
  <c r="AA79" i="30"/>
  <c r="V79" i="30"/>
  <c r="Q79" i="30"/>
  <c r="L79" i="30"/>
  <c r="G79" i="30"/>
  <c r="AP78" i="30"/>
  <c r="AK78" i="30"/>
  <c r="AF78" i="30"/>
  <c r="AA78" i="30"/>
  <c r="V78" i="30"/>
  <c r="Q78" i="30"/>
  <c r="L78" i="30"/>
  <c r="G78" i="30"/>
  <c r="AP77" i="30"/>
  <c r="AK77" i="30"/>
  <c r="AF77" i="30"/>
  <c r="AA77" i="30"/>
  <c r="V77" i="30"/>
  <c r="Q77" i="30"/>
  <c r="L77" i="30"/>
  <c r="G77" i="30"/>
  <c r="AP76" i="30"/>
  <c r="AK76" i="30"/>
  <c r="AF76" i="30"/>
  <c r="AA76" i="30"/>
  <c r="V76" i="30"/>
  <c r="Q76" i="30"/>
  <c r="L76" i="30"/>
  <c r="G76" i="30"/>
  <c r="AP75" i="30"/>
  <c r="AF75" i="30"/>
  <c r="AA75" i="30"/>
  <c r="V75" i="30"/>
  <c r="Q75" i="30"/>
  <c r="L75" i="30"/>
  <c r="G75" i="30"/>
  <c r="AP74" i="30"/>
  <c r="AF74" i="30"/>
  <c r="AA74" i="30"/>
  <c r="V74" i="30"/>
  <c r="Q74" i="30"/>
  <c r="L74" i="30"/>
  <c r="G74" i="30"/>
  <c r="AP73" i="30"/>
  <c r="AF73" i="30"/>
  <c r="AA73" i="30"/>
  <c r="V73" i="30"/>
  <c r="Q73" i="30"/>
  <c r="L73" i="30"/>
  <c r="G73" i="30"/>
  <c r="AP72" i="30"/>
  <c r="AF72" i="30"/>
  <c r="AA72" i="30"/>
  <c r="V72" i="30"/>
  <c r="Q72" i="30"/>
  <c r="L72" i="30"/>
  <c r="G72" i="30"/>
  <c r="AP71" i="30"/>
  <c r="AF71" i="30"/>
  <c r="AA71" i="30"/>
  <c r="V71" i="30"/>
  <c r="Q71" i="30"/>
  <c r="L71" i="30"/>
  <c r="G71" i="30"/>
  <c r="AP70" i="30"/>
  <c r="AF70" i="30"/>
  <c r="AA70" i="30"/>
  <c r="V70" i="30"/>
  <c r="Q70" i="30"/>
  <c r="L70" i="30"/>
  <c r="G70" i="30"/>
  <c r="AP69" i="30"/>
  <c r="AF69" i="30"/>
  <c r="AA69" i="30"/>
  <c r="V69" i="30"/>
  <c r="Q69" i="30"/>
  <c r="L69" i="30"/>
  <c r="G69" i="30"/>
  <c r="AP68" i="30"/>
  <c r="AF68" i="30"/>
  <c r="AA68" i="30"/>
  <c r="V68" i="30"/>
  <c r="Q68" i="30"/>
  <c r="L68" i="30"/>
  <c r="G68" i="30"/>
  <c r="AP67" i="30"/>
  <c r="AF67" i="30"/>
  <c r="AA67" i="30"/>
  <c r="V67" i="30"/>
  <c r="Q67" i="30"/>
  <c r="L67" i="30"/>
  <c r="G67" i="30"/>
  <c r="AP66" i="30"/>
  <c r="AF66" i="30"/>
  <c r="AA66" i="30"/>
  <c r="V66" i="30"/>
  <c r="Q66" i="30"/>
  <c r="L66" i="30"/>
  <c r="G66" i="30"/>
  <c r="AP65" i="30"/>
  <c r="AF65" i="30"/>
  <c r="AA65" i="30"/>
  <c r="V65" i="30"/>
  <c r="Q65" i="30"/>
  <c r="L65" i="30"/>
  <c r="G65" i="30"/>
  <c r="AP64" i="30"/>
  <c r="AF64" i="30"/>
  <c r="AA64" i="30"/>
  <c r="V64" i="30"/>
  <c r="Q64" i="30"/>
  <c r="L64" i="30"/>
  <c r="G64" i="30"/>
  <c r="AP63" i="30"/>
  <c r="AK63" i="30"/>
  <c r="AF63" i="30"/>
  <c r="AA63" i="30"/>
  <c r="V63" i="30"/>
  <c r="Q63" i="30"/>
  <c r="L63" i="30"/>
  <c r="G63" i="30"/>
  <c r="AP62" i="30"/>
  <c r="AK62" i="30"/>
  <c r="AF62" i="30"/>
  <c r="AA62" i="30"/>
  <c r="V62" i="30"/>
  <c r="Q62" i="30"/>
  <c r="L62" i="30"/>
  <c r="G62" i="30"/>
  <c r="AP61" i="30"/>
  <c r="AK61" i="30"/>
  <c r="AF61" i="30"/>
  <c r="AA61" i="30"/>
  <c r="V61" i="30"/>
  <c r="Q61" i="30"/>
  <c r="L61" i="30"/>
  <c r="G61" i="30"/>
  <c r="AP60" i="30"/>
  <c r="AK60" i="30"/>
  <c r="AF60" i="30"/>
  <c r="AA60" i="30"/>
  <c r="V60" i="30"/>
  <c r="Q60" i="30"/>
  <c r="L60" i="30"/>
  <c r="G60" i="30"/>
  <c r="AP59" i="30"/>
  <c r="AK59" i="30"/>
  <c r="AF59" i="30"/>
  <c r="AA59" i="30"/>
  <c r="V59" i="30"/>
  <c r="Q59" i="30"/>
  <c r="L59" i="30"/>
  <c r="G59" i="30"/>
  <c r="AP58" i="30"/>
  <c r="AK58" i="30"/>
  <c r="AF58" i="30"/>
  <c r="AA58" i="30"/>
  <c r="V58" i="30"/>
  <c r="Q58" i="30"/>
  <c r="L58" i="30"/>
  <c r="G58" i="30"/>
  <c r="AP57" i="30"/>
  <c r="AK57" i="30"/>
  <c r="AF57" i="30"/>
  <c r="AA57" i="30"/>
  <c r="V57" i="30"/>
  <c r="Q57" i="30"/>
  <c r="L57" i="30"/>
  <c r="G57" i="30"/>
  <c r="AP56" i="30"/>
  <c r="AK56" i="30"/>
  <c r="AF56" i="30"/>
  <c r="AA56" i="30"/>
  <c r="V56" i="30"/>
  <c r="Q56" i="30"/>
  <c r="L56" i="30"/>
  <c r="G56" i="30"/>
  <c r="AP55" i="30"/>
  <c r="AF55" i="30"/>
  <c r="AA55" i="30"/>
  <c r="V55" i="30"/>
  <c r="Q55" i="30"/>
  <c r="L55" i="30"/>
  <c r="G55" i="30"/>
  <c r="AP54" i="30"/>
  <c r="AF54" i="30"/>
  <c r="AA54" i="30"/>
  <c r="V54" i="30"/>
  <c r="Q54" i="30"/>
  <c r="L54" i="30"/>
  <c r="G54" i="30"/>
  <c r="AP53" i="30"/>
  <c r="AF53" i="30"/>
  <c r="AA53" i="30"/>
  <c r="V53" i="30"/>
  <c r="Q53" i="30"/>
  <c r="L53" i="30"/>
  <c r="G53" i="30"/>
  <c r="AP52" i="30"/>
  <c r="AF52" i="30"/>
  <c r="AA52" i="30"/>
  <c r="V52" i="30"/>
  <c r="Q52" i="30"/>
  <c r="L52" i="30"/>
  <c r="G52" i="30"/>
  <c r="AP51" i="30"/>
  <c r="AF51" i="30"/>
  <c r="AA51" i="30"/>
  <c r="V51" i="30"/>
  <c r="Q51" i="30"/>
  <c r="L51" i="30"/>
  <c r="G51" i="30"/>
  <c r="AP50" i="30"/>
  <c r="AF50" i="30"/>
  <c r="AA50" i="30"/>
  <c r="V50" i="30"/>
  <c r="Q50" i="30"/>
  <c r="L50" i="30"/>
  <c r="G50" i="30"/>
  <c r="AP49" i="30"/>
  <c r="AF49" i="30"/>
  <c r="AA49" i="30"/>
  <c r="V49" i="30"/>
  <c r="Q49" i="30"/>
  <c r="L49" i="30"/>
  <c r="G49" i="30"/>
  <c r="AP48" i="30"/>
  <c r="AF48" i="30"/>
  <c r="AA48" i="30"/>
  <c r="V48" i="30"/>
  <c r="Q48" i="30"/>
  <c r="L48" i="30"/>
  <c r="G48" i="30"/>
  <c r="AP47" i="30"/>
  <c r="AK47" i="30"/>
  <c r="AF47" i="30"/>
  <c r="AA47" i="30"/>
  <c r="V47" i="30"/>
  <c r="Q47" i="30"/>
  <c r="L47" i="30"/>
  <c r="G47" i="30"/>
  <c r="AP46" i="30"/>
  <c r="AK46" i="30"/>
  <c r="AF46" i="30"/>
  <c r="AA46" i="30"/>
  <c r="V46" i="30"/>
  <c r="Q46" i="30"/>
  <c r="L46" i="30"/>
  <c r="G46" i="30"/>
  <c r="AP45" i="30"/>
  <c r="AK45" i="30"/>
  <c r="AF45" i="30"/>
  <c r="AA45" i="30"/>
  <c r="V45" i="30"/>
  <c r="Q45" i="30"/>
  <c r="L45" i="30"/>
  <c r="G45" i="30"/>
  <c r="AP44" i="30"/>
  <c r="AK44" i="30"/>
  <c r="AF44" i="30"/>
  <c r="AA44" i="30"/>
  <c r="V44" i="30"/>
  <c r="Q44" i="30"/>
  <c r="L44" i="30"/>
  <c r="G44" i="30"/>
  <c r="AP43" i="30"/>
  <c r="AF43" i="30"/>
  <c r="AA43" i="30"/>
  <c r="V43" i="30"/>
  <c r="Q43" i="30"/>
  <c r="L43" i="30"/>
  <c r="G43" i="30"/>
  <c r="AP42" i="30"/>
  <c r="AF42" i="30"/>
  <c r="AA42" i="30"/>
  <c r="V42" i="30"/>
  <c r="Q42" i="30"/>
  <c r="L42" i="30"/>
  <c r="G42" i="30"/>
  <c r="AP41" i="30"/>
  <c r="AF41" i="30"/>
  <c r="AA41" i="30"/>
  <c r="V41" i="30"/>
  <c r="Q41" i="30"/>
  <c r="L41" i="30"/>
  <c r="G41" i="30"/>
  <c r="AP40" i="30"/>
  <c r="AF40" i="30"/>
  <c r="AA40" i="30"/>
  <c r="V40" i="30"/>
  <c r="Q40" i="30"/>
  <c r="L40" i="30"/>
  <c r="G40" i="30"/>
  <c r="AP39" i="30"/>
  <c r="AF39" i="30"/>
  <c r="AA39" i="30"/>
  <c r="V39" i="30"/>
  <c r="Q39" i="30"/>
  <c r="L39" i="30"/>
  <c r="G39" i="30"/>
  <c r="AP38" i="30"/>
  <c r="AF38" i="30"/>
  <c r="AA38" i="30"/>
  <c r="V38" i="30"/>
  <c r="Q38" i="30"/>
  <c r="L38" i="30"/>
  <c r="G38" i="30"/>
  <c r="AP37" i="30"/>
  <c r="AF37" i="30"/>
  <c r="AA37" i="30"/>
  <c r="V37" i="30"/>
  <c r="Q37" i="30"/>
  <c r="L37" i="30"/>
  <c r="G37" i="30"/>
  <c r="AP36" i="30"/>
  <c r="AF36" i="30"/>
  <c r="AA36" i="30"/>
  <c r="V36" i="30"/>
  <c r="Q36" i="30"/>
  <c r="L36" i="30"/>
  <c r="G36" i="30"/>
  <c r="AP35" i="30"/>
  <c r="AF35" i="30"/>
  <c r="AA35" i="30"/>
  <c r="V35" i="30"/>
  <c r="Q35" i="30"/>
  <c r="L35" i="30"/>
  <c r="G35" i="30"/>
  <c r="AP34" i="30"/>
  <c r="AF34" i="30"/>
  <c r="AA34" i="30"/>
  <c r="V34" i="30"/>
  <c r="Q34" i="30"/>
  <c r="L34" i="30"/>
  <c r="G34" i="30"/>
  <c r="AP33" i="30"/>
  <c r="AF33" i="30"/>
  <c r="AA33" i="30"/>
  <c r="V33" i="30"/>
  <c r="Q33" i="30"/>
  <c r="L33" i="30"/>
  <c r="G33" i="30"/>
  <c r="AP32" i="30"/>
  <c r="AF32" i="30"/>
  <c r="AA32" i="30"/>
  <c r="V32" i="30"/>
  <c r="Q32" i="30"/>
  <c r="L32" i="30"/>
  <c r="G32" i="30"/>
  <c r="AP31" i="30"/>
  <c r="AK31" i="30"/>
  <c r="AF31" i="30"/>
  <c r="AA31" i="30"/>
  <c r="V31" i="30"/>
  <c r="Q31" i="30"/>
  <c r="L31" i="30"/>
  <c r="G31" i="30"/>
  <c r="AP30" i="30"/>
  <c r="AK30" i="30"/>
  <c r="AF30" i="30"/>
  <c r="AA30" i="30"/>
  <c r="V30" i="30"/>
  <c r="Q30" i="30"/>
  <c r="L30" i="30"/>
  <c r="G30" i="30"/>
  <c r="AP29" i="30"/>
  <c r="AK29" i="30"/>
  <c r="AF29" i="30"/>
  <c r="AA29" i="30"/>
  <c r="V29" i="30"/>
  <c r="Q29" i="30"/>
  <c r="L29" i="30"/>
  <c r="G29" i="30"/>
  <c r="AP28" i="30"/>
  <c r="AK28" i="30"/>
  <c r="AF28" i="30"/>
  <c r="AA28" i="30"/>
  <c r="V28" i="30"/>
  <c r="Q28" i="30"/>
  <c r="L28" i="30"/>
  <c r="G28" i="30"/>
  <c r="AP27" i="30"/>
  <c r="AK27" i="30"/>
  <c r="AF27" i="30"/>
  <c r="AA27" i="30"/>
  <c r="V27" i="30"/>
  <c r="Q27" i="30"/>
  <c r="L27" i="30"/>
  <c r="G27" i="30"/>
  <c r="AP26" i="30"/>
  <c r="AK26" i="30"/>
  <c r="AF26" i="30"/>
  <c r="AA26" i="30"/>
  <c r="V26" i="30"/>
  <c r="Q26" i="30"/>
  <c r="L26" i="30"/>
  <c r="G26" i="30"/>
  <c r="AP25" i="30"/>
  <c r="AK25" i="30"/>
  <c r="AF25" i="30"/>
  <c r="AA25" i="30"/>
  <c r="V25" i="30"/>
  <c r="Q25" i="30"/>
  <c r="L25" i="30"/>
  <c r="G25" i="30"/>
  <c r="AP24" i="30"/>
  <c r="AK24" i="30"/>
  <c r="AF24" i="30"/>
  <c r="AA24" i="30"/>
  <c r="V24" i="30"/>
  <c r="Q24" i="30"/>
  <c r="L24" i="30"/>
  <c r="G24" i="30"/>
  <c r="AP23" i="30"/>
  <c r="AF23" i="30"/>
  <c r="AA23" i="30"/>
  <c r="V23" i="30"/>
  <c r="Q23" i="30"/>
  <c r="L23" i="30"/>
  <c r="G23" i="30"/>
  <c r="AP22" i="30"/>
  <c r="AF22" i="30"/>
  <c r="AA22" i="30"/>
  <c r="V22" i="30"/>
  <c r="Q22" i="30"/>
  <c r="L22" i="30"/>
  <c r="G22" i="30"/>
  <c r="AP21" i="30"/>
  <c r="AF21" i="30"/>
  <c r="AA21" i="30"/>
  <c r="V21" i="30"/>
  <c r="Q21" i="30"/>
  <c r="L21" i="30"/>
  <c r="G21" i="30"/>
  <c r="AP20" i="30"/>
  <c r="AF20" i="30"/>
  <c r="AA20" i="30"/>
  <c r="V20" i="30"/>
  <c r="Q20" i="30"/>
  <c r="L20" i="30"/>
  <c r="G20" i="30"/>
  <c r="AP19" i="30"/>
  <c r="AF19" i="30"/>
  <c r="AA19" i="30"/>
  <c r="V19" i="30"/>
  <c r="Q19" i="30"/>
  <c r="L19" i="30"/>
  <c r="G19" i="30"/>
  <c r="AP18" i="30"/>
  <c r="AF18" i="30"/>
  <c r="AA18" i="30"/>
  <c r="V18" i="30"/>
  <c r="Q18" i="30"/>
  <c r="L18" i="30"/>
  <c r="G18" i="30"/>
  <c r="AP17" i="30"/>
  <c r="AF17" i="30"/>
  <c r="AA17" i="30"/>
  <c r="V17" i="30"/>
  <c r="Q17" i="30"/>
  <c r="L17" i="30"/>
  <c r="G17" i="30"/>
  <c r="AP16" i="30"/>
  <c r="AF16" i="30"/>
  <c r="AA16" i="30"/>
  <c r="V16" i="30"/>
  <c r="Q16" i="30"/>
  <c r="L16" i="30"/>
  <c r="G16" i="30"/>
  <c r="AP15" i="30"/>
  <c r="AK15" i="30"/>
  <c r="AF15" i="30"/>
  <c r="AA15" i="30"/>
  <c r="V15" i="30"/>
  <c r="Q15" i="30"/>
  <c r="L15" i="30"/>
  <c r="G15" i="30"/>
  <c r="AP14" i="30"/>
  <c r="AK14" i="30"/>
  <c r="AF14" i="30"/>
  <c r="AA14" i="30"/>
  <c r="V14" i="30"/>
  <c r="Q14" i="30"/>
  <c r="L14" i="30"/>
  <c r="G14" i="30"/>
  <c r="AP13" i="30"/>
  <c r="AK13" i="30"/>
  <c r="AF13" i="30"/>
  <c r="AA13" i="30"/>
  <c r="V13" i="30"/>
  <c r="Q13" i="30"/>
  <c r="L13" i="30"/>
  <c r="G13" i="30"/>
  <c r="AP12" i="30"/>
  <c r="AK12" i="30"/>
  <c r="AF12" i="30"/>
  <c r="AA12" i="30"/>
  <c r="V12" i="30"/>
  <c r="Q12" i="30"/>
  <c r="L12" i="30"/>
  <c r="G12" i="30"/>
  <c r="AP11" i="30"/>
  <c r="AF11" i="30"/>
  <c r="AA11" i="30"/>
  <c r="V11" i="30"/>
  <c r="Q11" i="30"/>
  <c r="L11" i="30"/>
  <c r="G11" i="30"/>
  <c r="AP10" i="30"/>
  <c r="AF10" i="30"/>
  <c r="AA10" i="30"/>
  <c r="V10" i="30"/>
  <c r="Q10" i="30"/>
  <c r="L10" i="30"/>
  <c r="G10" i="30"/>
  <c r="AP9" i="30"/>
  <c r="AF9" i="30"/>
  <c r="AA9" i="30"/>
  <c r="V9" i="30"/>
  <c r="Q9" i="30"/>
  <c r="L9" i="30"/>
  <c r="G9" i="30"/>
  <c r="AP8" i="30"/>
  <c r="AF8" i="30"/>
  <c r="AA8" i="30"/>
  <c r="V8" i="30"/>
  <c r="Q8" i="30"/>
  <c r="L8" i="30"/>
  <c r="G8" i="30"/>
  <c r="AP7" i="30"/>
  <c r="AF7" i="30"/>
  <c r="AA7" i="30"/>
  <c r="V7" i="30"/>
  <c r="Q7" i="30"/>
  <c r="L7" i="30"/>
  <c r="G7" i="30"/>
  <c r="AP6" i="30"/>
  <c r="AF6" i="30"/>
  <c r="AA6" i="30"/>
  <c r="V6" i="30"/>
  <c r="Q6" i="30"/>
  <c r="L6" i="30"/>
  <c r="G6" i="30"/>
  <c r="AP5" i="30"/>
  <c r="AF5" i="30"/>
  <c r="AA5" i="30"/>
  <c r="V5" i="30"/>
  <c r="Q5" i="30"/>
  <c r="L5" i="30"/>
  <c r="G5" i="30"/>
  <c r="AP4" i="30"/>
  <c r="AF4" i="30"/>
  <c r="AA4" i="30"/>
  <c r="V4" i="30"/>
  <c r="Q4" i="30"/>
  <c r="L4" i="30"/>
  <c r="G4" i="30"/>
  <c r="B9" i="27"/>
  <c r="B3" i="30"/>
  <c r="B7" i="30" s="1"/>
  <c r="AR101" i="27"/>
  <c r="AP101" i="27"/>
  <c r="N101" i="27"/>
  <c r="P101" i="27"/>
  <c r="U101" i="27"/>
  <c r="W101" i="27"/>
  <c r="AB101" i="27"/>
  <c r="AD101" i="27"/>
  <c r="AI101" i="27"/>
  <c r="AK101" i="27"/>
  <c r="G101" i="27"/>
  <c r="I101" i="27"/>
  <c r="Q51" i="28"/>
  <c r="B7" i="2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6" i="28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AN101" i="27"/>
  <c r="AX101" i="27"/>
  <c r="AU101" i="27"/>
  <c r="Z101" i="27"/>
  <c r="S101" i="27"/>
  <c r="AP101" i="28"/>
  <c r="Q101" i="28"/>
  <c r="AK6" i="28"/>
  <c r="AK5" i="28"/>
  <c r="AK4" i="28"/>
  <c r="AP99" i="28"/>
  <c r="AP98" i="28"/>
  <c r="AP97" i="28"/>
  <c r="AP96" i="28"/>
  <c r="AP95" i="28"/>
  <c r="AP94" i="28"/>
  <c r="AP93" i="28"/>
  <c r="AP92" i="28"/>
  <c r="AP91" i="28"/>
  <c r="AP90" i="28"/>
  <c r="AP89" i="28"/>
  <c r="AP88" i="28"/>
  <c r="AP87" i="28"/>
  <c r="AP86" i="28"/>
  <c r="AP85" i="28"/>
  <c r="AP84" i="28"/>
  <c r="AP83" i="28"/>
  <c r="AP82" i="28"/>
  <c r="AP81" i="28"/>
  <c r="AP80" i="28"/>
  <c r="AP79" i="28"/>
  <c r="AP78" i="28"/>
  <c r="AP77" i="28"/>
  <c r="AP76" i="28"/>
  <c r="AP75" i="28"/>
  <c r="AP74" i="28"/>
  <c r="AP73" i="28"/>
  <c r="AP72" i="28"/>
  <c r="AP71" i="28"/>
  <c r="AP70" i="28"/>
  <c r="AP69" i="28"/>
  <c r="AP68" i="28"/>
  <c r="AP67" i="28"/>
  <c r="AP66" i="28"/>
  <c r="AP65" i="28"/>
  <c r="AP64" i="28"/>
  <c r="AP63" i="28"/>
  <c r="AP62" i="28"/>
  <c r="AP61" i="28"/>
  <c r="AP60" i="28"/>
  <c r="AP59" i="28"/>
  <c r="AP58" i="28"/>
  <c r="AP57" i="28"/>
  <c r="AP56" i="28"/>
  <c r="AP55" i="28"/>
  <c r="AP54" i="28"/>
  <c r="AP53" i="28"/>
  <c r="AP52" i="28"/>
  <c r="AP51" i="28"/>
  <c r="AP50" i="28"/>
  <c r="AP49" i="28"/>
  <c r="AP48" i="28"/>
  <c r="AP47" i="28"/>
  <c r="AP46" i="28"/>
  <c r="AP45" i="28"/>
  <c r="AP44" i="28"/>
  <c r="AP43" i="28"/>
  <c r="AP42" i="28"/>
  <c r="AP41" i="28"/>
  <c r="AP40" i="28"/>
  <c r="AP39" i="28"/>
  <c r="AP38" i="28"/>
  <c r="AP37" i="28"/>
  <c r="AP36" i="28"/>
  <c r="AP35" i="28"/>
  <c r="AP34" i="28"/>
  <c r="AP33" i="28"/>
  <c r="AP32" i="28"/>
  <c r="AP31" i="28"/>
  <c r="AP30" i="28"/>
  <c r="AP29" i="28"/>
  <c r="AP28" i="28"/>
  <c r="AP27" i="28"/>
  <c r="AP26" i="28"/>
  <c r="AP25" i="28"/>
  <c r="AP24" i="28"/>
  <c r="AP23" i="28"/>
  <c r="AP22" i="28"/>
  <c r="AP21" i="28"/>
  <c r="AP20" i="28"/>
  <c r="AP19" i="28"/>
  <c r="AP18" i="28"/>
  <c r="AP17" i="28"/>
  <c r="AP16" i="28"/>
  <c r="AP15" i="28"/>
  <c r="AP14" i="28"/>
  <c r="AP13" i="28"/>
  <c r="AP12" i="28"/>
  <c r="AP11" i="28"/>
  <c r="AP10" i="28"/>
  <c r="AP9" i="28"/>
  <c r="AP8" i="28"/>
  <c r="AP7" i="28"/>
  <c r="AP6" i="28"/>
  <c r="AP5" i="28"/>
  <c r="AP4" i="28"/>
  <c r="AK99" i="28"/>
  <c r="AK98" i="28"/>
  <c r="AK97" i="28"/>
  <c r="AK96" i="28"/>
  <c r="AK95" i="28"/>
  <c r="AK94" i="28"/>
  <c r="AK93" i="28"/>
  <c r="AK92" i="28"/>
  <c r="AK91" i="28"/>
  <c r="AK90" i="28"/>
  <c r="AK89" i="28"/>
  <c r="AK88" i="28"/>
  <c r="AK87" i="28"/>
  <c r="AK86" i="28"/>
  <c r="AK85" i="28"/>
  <c r="AK84" i="28"/>
  <c r="AK83" i="28"/>
  <c r="AK82" i="28"/>
  <c r="AK81" i="28"/>
  <c r="AK80" i="28"/>
  <c r="AK79" i="28"/>
  <c r="AK78" i="28"/>
  <c r="AK77" i="28"/>
  <c r="AK76" i="28"/>
  <c r="AK75" i="28"/>
  <c r="AK74" i="28"/>
  <c r="AK73" i="28"/>
  <c r="AK72" i="28"/>
  <c r="AK71" i="28"/>
  <c r="AK70" i="28"/>
  <c r="AK69" i="28"/>
  <c r="AK68" i="28"/>
  <c r="AK67" i="28"/>
  <c r="AK66" i="28"/>
  <c r="AK65" i="28"/>
  <c r="AK64" i="28"/>
  <c r="AK63" i="28"/>
  <c r="AK62" i="28"/>
  <c r="AK61" i="28"/>
  <c r="AK60" i="28"/>
  <c r="AK59" i="28"/>
  <c r="AK58" i="28"/>
  <c r="AK57" i="28"/>
  <c r="AK56" i="28"/>
  <c r="AK55" i="28"/>
  <c r="AK54" i="28"/>
  <c r="AK53" i="28"/>
  <c r="AK52" i="28"/>
  <c r="AK51" i="28"/>
  <c r="AK50" i="28"/>
  <c r="AK49" i="28"/>
  <c r="AK48" i="28"/>
  <c r="AK47" i="28"/>
  <c r="AK46" i="28"/>
  <c r="AK45" i="28"/>
  <c r="AK44" i="28"/>
  <c r="AK43" i="28"/>
  <c r="AK42" i="28"/>
  <c r="AK41" i="28"/>
  <c r="AK40" i="28"/>
  <c r="AK39" i="28"/>
  <c r="AK38" i="28"/>
  <c r="AK37" i="28"/>
  <c r="AK36" i="28"/>
  <c r="AK35" i="28"/>
  <c r="AK34" i="28"/>
  <c r="AK33" i="28"/>
  <c r="AK32" i="28"/>
  <c r="AK31" i="28"/>
  <c r="AK30" i="28"/>
  <c r="AK29" i="28"/>
  <c r="AK28" i="28"/>
  <c r="AK27" i="28"/>
  <c r="AK26" i="28"/>
  <c r="AK25" i="28"/>
  <c r="AK24" i="28"/>
  <c r="AK23" i="28"/>
  <c r="AK22" i="28"/>
  <c r="AK21" i="28"/>
  <c r="AK20" i="28"/>
  <c r="AK19" i="28"/>
  <c r="AK18" i="28"/>
  <c r="AK17" i="28"/>
  <c r="AK16" i="28"/>
  <c r="AK15" i="28"/>
  <c r="AK14" i="28"/>
  <c r="AK13" i="28"/>
  <c r="AK12" i="28"/>
  <c r="AK11" i="28"/>
  <c r="AK10" i="28"/>
  <c r="AK9" i="28"/>
  <c r="AK8" i="28"/>
  <c r="AK7" i="28"/>
  <c r="AF99" i="28"/>
  <c r="AF98" i="28"/>
  <c r="AF97" i="28"/>
  <c r="AF96" i="28"/>
  <c r="AF95" i="28"/>
  <c r="AF94" i="28"/>
  <c r="AF93" i="28"/>
  <c r="AF92" i="28"/>
  <c r="AF91" i="28"/>
  <c r="AF90" i="28"/>
  <c r="AF89" i="28"/>
  <c r="AF88" i="28"/>
  <c r="AF87" i="28"/>
  <c r="AF86" i="28"/>
  <c r="AF85" i="28"/>
  <c r="AF84" i="28"/>
  <c r="AF83" i="28"/>
  <c r="AF82" i="28"/>
  <c r="AF81" i="28"/>
  <c r="AF80" i="28"/>
  <c r="AF79" i="28"/>
  <c r="AF78" i="28"/>
  <c r="AF77" i="28"/>
  <c r="AF76" i="28"/>
  <c r="AF75" i="28"/>
  <c r="AF74" i="28"/>
  <c r="AF73" i="28"/>
  <c r="AF72" i="28"/>
  <c r="AF71" i="28"/>
  <c r="AF70" i="28"/>
  <c r="AF69" i="28"/>
  <c r="AF68" i="28"/>
  <c r="AF67" i="28"/>
  <c r="AF66" i="28"/>
  <c r="AF65" i="28"/>
  <c r="AF64" i="28"/>
  <c r="AF63" i="28"/>
  <c r="AF62" i="28"/>
  <c r="AF61" i="28"/>
  <c r="AF60" i="28"/>
  <c r="AF59" i="28"/>
  <c r="AF58" i="28"/>
  <c r="AF57" i="28"/>
  <c r="AF56" i="28"/>
  <c r="AF55" i="28"/>
  <c r="AF54" i="28"/>
  <c r="AF53" i="28"/>
  <c r="AF52" i="28"/>
  <c r="AF51" i="28"/>
  <c r="AF50" i="28"/>
  <c r="AF49" i="28"/>
  <c r="AF48" i="28"/>
  <c r="AF47" i="28"/>
  <c r="AF46" i="28"/>
  <c r="AF45" i="28"/>
  <c r="AF44" i="28"/>
  <c r="AF43" i="28"/>
  <c r="AF42" i="28"/>
  <c r="AF41" i="28"/>
  <c r="AF40" i="28"/>
  <c r="AF39" i="28"/>
  <c r="AF38" i="28"/>
  <c r="AF37" i="28"/>
  <c r="AF36" i="28"/>
  <c r="AF35" i="28"/>
  <c r="AF34" i="28"/>
  <c r="AF33" i="28"/>
  <c r="AF32" i="28"/>
  <c r="AF31" i="28"/>
  <c r="AF30" i="28"/>
  <c r="AF29" i="28"/>
  <c r="AF28" i="28"/>
  <c r="AF27" i="28"/>
  <c r="AF26" i="28"/>
  <c r="AF25" i="28"/>
  <c r="AF24" i="28"/>
  <c r="AF23" i="28"/>
  <c r="AF22" i="28"/>
  <c r="AF21" i="28"/>
  <c r="AF20" i="28"/>
  <c r="AF19" i="28"/>
  <c r="AF18" i="28"/>
  <c r="AF17" i="28"/>
  <c r="AF16" i="28"/>
  <c r="AF15" i="28"/>
  <c r="AF14" i="28"/>
  <c r="AF13" i="28"/>
  <c r="AF12" i="28"/>
  <c r="AF11" i="28"/>
  <c r="AF10" i="28"/>
  <c r="AF9" i="28"/>
  <c r="AF8" i="28"/>
  <c r="AF7" i="28"/>
  <c r="AF6" i="28"/>
  <c r="AF5" i="28"/>
  <c r="AF4" i="28"/>
  <c r="AA99" i="28"/>
  <c r="AA98" i="28"/>
  <c r="AA97" i="28"/>
  <c r="AA96" i="28"/>
  <c r="AA95" i="28"/>
  <c r="AA94" i="28"/>
  <c r="AA93" i="28"/>
  <c r="AA92" i="28"/>
  <c r="AA91" i="28"/>
  <c r="AA90" i="28"/>
  <c r="AA89" i="28"/>
  <c r="AA88" i="28"/>
  <c r="AA87" i="28"/>
  <c r="AA86" i="28"/>
  <c r="AA85" i="28"/>
  <c r="AA84" i="28"/>
  <c r="AA83" i="28"/>
  <c r="AA82" i="28"/>
  <c r="AA81" i="28"/>
  <c r="AA80" i="28"/>
  <c r="AA79" i="28"/>
  <c r="AA78" i="28"/>
  <c r="AA77" i="28"/>
  <c r="AA76" i="28"/>
  <c r="AA75" i="28"/>
  <c r="AA74" i="28"/>
  <c r="AA73" i="28"/>
  <c r="AA72" i="28"/>
  <c r="AA71" i="28"/>
  <c r="AA70" i="28"/>
  <c r="AA69" i="28"/>
  <c r="AA68" i="28"/>
  <c r="AA67" i="28"/>
  <c r="AA66" i="28"/>
  <c r="AA65" i="28"/>
  <c r="AA64" i="28"/>
  <c r="AA63" i="28"/>
  <c r="AA62" i="28"/>
  <c r="AA61" i="28"/>
  <c r="AA60" i="28"/>
  <c r="AA59" i="28"/>
  <c r="AA58" i="28"/>
  <c r="AA57" i="28"/>
  <c r="AA56" i="28"/>
  <c r="AA55" i="28"/>
  <c r="AA54" i="28"/>
  <c r="AA53" i="28"/>
  <c r="AA52" i="28"/>
  <c r="AA51" i="28"/>
  <c r="AA50" i="28"/>
  <c r="AA49" i="28"/>
  <c r="AA48" i="28"/>
  <c r="AA47" i="28"/>
  <c r="AA46" i="28"/>
  <c r="AA45" i="28"/>
  <c r="AA44" i="28"/>
  <c r="AA43" i="28"/>
  <c r="AA42" i="28"/>
  <c r="AA41" i="28"/>
  <c r="AA40" i="28"/>
  <c r="AA39" i="28"/>
  <c r="AA38" i="28"/>
  <c r="AA37" i="28"/>
  <c r="AA36" i="28"/>
  <c r="AA35" i="28"/>
  <c r="AA34" i="28"/>
  <c r="AA33" i="28"/>
  <c r="AA32" i="28"/>
  <c r="AA31" i="28"/>
  <c r="AA30" i="28"/>
  <c r="AA29" i="28"/>
  <c r="AA28" i="28"/>
  <c r="AA27" i="28"/>
  <c r="AA26" i="28"/>
  <c r="AA25" i="28"/>
  <c r="AA24" i="28"/>
  <c r="AA23" i="28"/>
  <c r="AA22" i="28"/>
  <c r="AA21" i="28"/>
  <c r="AA20" i="28"/>
  <c r="AA19" i="28"/>
  <c r="AA18" i="28"/>
  <c r="AA17" i="28"/>
  <c r="AA16" i="28"/>
  <c r="AA15" i="28"/>
  <c r="AA14" i="28"/>
  <c r="AA13" i="28"/>
  <c r="AA12" i="28"/>
  <c r="AA11" i="28"/>
  <c r="AA10" i="28"/>
  <c r="AA9" i="28"/>
  <c r="AA8" i="28"/>
  <c r="AA7" i="28"/>
  <c r="AA6" i="28"/>
  <c r="AA5" i="28"/>
  <c r="AA4" i="28"/>
  <c r="V99" i="28"/>
  <c r="V98" i="28"/>
  <c r="V97" i="28"/>
  <c r="V96" i="28"/>
  <c r="V95" i="28"/>
  <c r="V94" i="28"/>
  <c r="V93" i="28"/>
  <c r="V92" i="28"/>
  <c r="V91" i="28"/>
  <c r="V90" i="28"/>
  <c r="V89" i="28"/>
  <c r="V88" i="28"/>
  <c r="V87" i="28"/>
  <c r="V86" i="28"/>
  <c r="V85" i="28"/>
  <c r="V84" i="28"/>
  <c r="V83" i="28"/>
  <c r="V82" i="28"/>
  <c r="V81" i="28"/>
  <c r="V80" i="28"/>
  <c r="V79" i="28"/>
  <c r="V78" i="28"/>
  <c r="V77" i="28"/>
  <c r="V76" i="28"/>
  <c r="V75" i="28"/>
  <c r="V74" i="28"/>
  <c r="V73" i="28"/>
  <c r="V72" i="28"/>
  <c r="V71" i="28"/>
  <c r="V70" i="28"/>
  <c r="V69" i="28"/>
  <c r="V68" i="28"/>
  <c r="V67" i="28"/>
  <c r="V66" i="28"/>
  <c r="V65" i="28"/>
  <c r="V64" i="28"/>
  <c r="V63" i="28"/>
  <c r="V62" i="28"/>
  <c r="V61" i="28"/>
  <c r="V60" i="28"/>
  <c r="V59" i="28"/>
  <c r="V58" i="28"/>
  <c r="V57" i="28"/>
  <c r="V56" i="28"/>
  <c r="V55" i="28"/>
  <c r="V54" i="28"/>
  <c r="V53" i="28"/>
  <c r="V52" i="28"/>
  <c r="V51" i="28"/>
  <c r="V50" i="28"/>
  <c r="V49" i="28"/>
  <c r="V48" i="28"/>
  <c r="V47" i="28"/>
  <c r="V46" i="28"/>
  <c r="V45" i="28"/>
  <c r="V44" i="28"/>
  <c r="V43" i="28"/>
  <c r="V42" i="28"/>
  <c r="V41" i="28"/>
  <c r="V40" i="28"/>
  <c r="V39" i="28"/>
  <c r="V38" i="28"/>
  <c r="V37" i="28"/>
  <c r="V36" i="28"/>
  <c r="V35" i="28"/>
  <c r="V34" i="28"/>
  <c r="V33" i="28"/>
  <c r="V32" i="28"/>
  <c r="V31" i="28"/>
  <c r="V30" i="28"/>
  <c r="V29" i="28"/>
  <c r="V28" i="28"/>
  <c r="V27" i="28"/>
  <c r="V26" i="28"/>
  <c r="V25" i="28"/>
  <c r="V24" i="28"/>
  <c r="V23" i="28"/>
  <c r="V22" i="28"/>
  <c r="V21" i="28"/>
  <c r="V20" i="28"/>
  <c r="V19" i="28"/>
  <c r="V18" i="28"/>
  <c r="V17" i="28"/>
  <c r="V16" i="28"/>
  <c r="V15" i="28"/>
  <c r="V14" i="28"/>
  <c r="V13" i="28"/>
  <c r="V12" i="28"/>
  <c r="V11" i="28"/>
  <c r="V10" i="28"/>
  <c r="V9" i="28"/>
  <c r="V8" i="28"/>
  <c r="V7" i="28"/>
  <c r="V6" i="28"/>
  <c r="V5" i="28"/>
  <c r="V4" i="28"/>
  <c r="V101" i="28" s="1"/>
  <c r="Q99" i="28"/>
  <c r="Q98" i="28"/>
  <c r="Q97" i="28"/>
  <c r="Q96" i="28"/>
  <c r="Q95" i="28"/>
  <c r="Q94" i="28"/>
  <c r="Q93" i="28"/>
  <c r="Q92" i="28"/>
  <c r="Q91" i="28"/>
  <c r="Q90" i="28"/>
  <c r="Q89" i="28"/>
  <c r="Q88" i="28"/>
  <c r="Q87" i="28"/>
  <c r="Q86" i="28"/>
  <c r="Q85" i="28"/>
  <c r="Q84" i="28"/>
  <c r="Q83" i="28"/>
  <c r="Q82" i="28"/>
  <c r="Q81" i="28"/>
  <c r="Q80" i="28"/>
  <c r="Q79" i="28"/>
  <c r="Q78" i="28"/>
  <c r="Q77" i="28"/>
  <c r="Q76" i="28"/>
  <c r="Q75" i="28"/>
  <c r="Q74" i="28"/>
  <c r="Q73" i="28"/>
  <c r="Q72" i="28"/>
  <c r="Q71" i="28"/>
  <c r="Q70" i="28"/>
  <c r="Q69" i="28"/>
  <c r="Q68" i="28"/>
  <c r="Q67" i="28"/>
  <c r="Q66" i="28"/>
  <c r="Q65" i="28"/>
  <c r="Q64" i="28"/>
  <c r="Q63" i="28"/>
  <c r="Q62" i="28"/>
  <c r="Q61" i="28"/>
  <c r="Q60" i="28"/>
  <c r="Q59" i="28"/>
  <c r="Q58" i="28"/>
  <c r="Q57" i="28"/>
  <c r="Q56" i="28"/>
  <c r="Q55" i="28"/>
  <c r="Q54" i="28"/>
  <c r="Q53" i="28"/>
  <c r="Q52" i="28"/>
  <c r="Q50" i="28"/>
  <c r="Q49" i="28"/>
  <c r="Q48" i="28"/>
  <c r="Q47" i="28"/>
  <c r="Q46" i="28"/>
  <c r="Q45" i="28"/>
  <c r="Q44" i="28"/>
  <c r="Q43" i="28"/>
  <c r="Q42" i="28"/>
  <c r="Q41" i="28"/>
  <c r="Q40" i="28"/>
  <c r="Q39" i="28"/>
  <c r="Q38" i="28"/>
  <c r="Q37" i="28"/>
  <c r="Q36" i="28"/>
  <c r="Q35" i="28"/>
  <c r="Q34" i="28"/>
  <c r="Q33" i="28"/>
  <c r="Q32" i="28"/>
  <c r="Q31" i="28"/>
  <c r="Q30" i="28"/>
  <c r="Q29" i="28"/>
  <c r="Q28" i="28"/>
  <c r="Q27" i="28"/>
  <c r="Q26" i="28"/>
  <c r="Q25" i="28"/>
  <c r="Q24" i="28"/>
  <c r="Q23" i="28"/>
  <c r="Q22" i="28"/>
  <c r="Q21" i="28"/>
  <c r="Q20" i="28"/>
  <c r="Q19" i="28"/>
  <c r="Q18" i="28"/>
  <c r="Q17" i="28"/>
  <c r="Q16" i="28"/>
  <c r="Q15" i="28"/>
  <c r="Q14" i="28"/>
  <c r="Q13" i="28"/>
  <c r="Q12" i="28"/>
  <c r="Q11" i="28"/>
  <c r="Q10" i="28"/>
  <c r="Q9" i="28"/>
  <c r="Q8" i="28"/>
  <c r="Q7" i="28"/>
  <c r="Q6" i="28"/>
  <c r="Q5" i="28"/>
  <c r="Q4" i="28"/>
  <c r="L99" i="28"/>
  <c r="L98" i="28"/>
  <c r="L97" i="28"/>
  <c r="L96" i="28"/>
  <c r="L95" i="28"/>
  <c r="L94" i="28"/>
  <c r="L93" i="28"/>
  <c r="L92" i="28"/>
  <c r="L91" i="28"/>
  <c r="L90" i="28"/>
  <c r="L89" i="28"/>
  <c r="L88" i="28"/>
  <c r="L87" i="28"/>
  <c r="L86" i="28"/>
  <c r="L85" i="28"/>
  <c r="L84" i="28"/>
  <c r="L83" i="28"/>
  <c r="L82" i="28"/>
  <c r="L81" i="28"/>
  <c r="L80" i="28"/>
  <c r="L79" i="28"/>
  <c r="L78" i="28"/>
  <c r="L77" i="28"/>
  <c r="L76" i="28"/>
  <c r="L75" i="28"/>
  <c r="L74" i="28"/>
  <c r="L73" i="28"/>
  <c r="L72" i="28"/>
  <c r="L71" i="28"/>
  <c r="L70" i="28"/>
  <c r="L69" i="28"/>
  <c r="L68" i="28"/>
  <c r="L67" i="28"/>
  <c r="L66" i="28"/>
  <c r="L65" i="28"/>
  <c r="L64" i="28"/>
  <c r="L63" i="28"/>
  <c r="L62" i="28"/>
  <c r="L61" i="28"/>
  <c r="L60" i="28"/>
  <c r="L59" i="28"/>
  <c r="L58" i="28"/>
  <c r="L57" i="28"/>
  <c r="L56" i="28"/>
  <c r="L55" i="28"/>
  <c r="L54" i="28"/>
  <c r="L53" i="28"/>
  <c r="L52" i="28"/>
  <c r="L51" i="28"/>
  <c r="L50" i="28"/>
  <c r="L49" i="28"/>
  <c r="L48" i="28"/>
  <c r="L47" i="28"/>
  <c r="L46" i="28"/>
  <c r="L45" i="28"/>
  <c r="L44" i="28"/>
  <c r="L43" i="28"/>
  <c r="L42" i="28"/>
  <c r="L41" i="28"/>
  <c r="L40" i="28"/>
  <c r="L39" i="28"/>
  <c r="L38" i="28"/>
  <c r="L37" i="28"/>
  <c r="L36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1" i="28"/>
  <c r="L10" i="28"/>
  <c r="L9" i="28"/>
  <c r="L8" i="28"/>
  <c r="L7" i="28"/>
  <c r="L6" i="28"/>
  <c r="L5" i="28"/>
  <c r="L4" i="28"/>
  <c r="L101" i="28" s="1"/>
  <c r="G99" i="28"/>
  <c r="G98" i="28"/>
  <c r="G97" i="28"/>
  <c r="G96" i="28"/>
  <c r="G95" i="28"/>
  <c r="G94" i="28"/>
  <c r="G93" i="28"/>
  <c r="G92" i="28"/>
  <c r="G91" i="28"/>
  <c r="G90" i="28"/>
  <c r="G89" i="28"/>
  <c r="G88" i="28"/>
  <c r="G87" i="28"/>
  <c r="G86" i="28"/>
  <c r="G85" i="28"/>
  <c r="G84" i="28"/>
  <c r="G83" i="28"/>
  <c r="G82" i="28"/>
  <c r="G81" i="28"/>
  <c r="G80" i="28"/>
  <c r="G79" i="28"/>
  <c r="G78" i="28"/>
  <c r="G77" i="28"/>
  <c r="G76" i="28"/>
  <c r="G75" i="28"/>
  <c r="G74" i="28"/>
  <c r="G73" i="28"/>
  <c r="G72" i="28"/>
  <c r="G71" i="28"/>
  <c r="G70" i="28"/>
  <c r="G69" i="28"/>
  <c r="G68" i="28"/>
  <c r="G67" i="28"/>
  <c r="G66" i="28"/>
  <c r="G65" i="28"/>
  <c r="G64" i="28"/>
  <c r="G63" i="28"/>
  <c r="G62" i="28"/>
  <c r="G61" i="28"/>
  <c r="G60" i="28"/>
  <c r="G59" i="28"/>
  <c r="G58" i="28"/>
  <c r="G57" i="28"/>
  <c r="G56" i="28"/>
  <c r="G55" i="28"/>
  <c r="G54" i="28"/>
  <c r="G53" i="28"/>
  <c r="G52" i="28"/>
  <c r="G51" i="28"/>
  <c r="G50" i="28"/>
  <c r="G49" i="28"/>
  <c r="G48" i="28"/>
  <c r="G47" i="28"/>
  <c r="G46" i="28"/>
  <c r="G45" i="28"/>
  <c r="G44" i="28"/>
  <c r="G43" i="28"/>
  <c r="G42" i="28"/>
  <c r="G41" i="28"/>
  <c r="G40" i="28"/>
  <c r="G39" i="28"/>
  <c r="G38" i="28"/>
  <c r="G36" i="28"/>
  <c r="G35" i="28"/>
  <c r="G34" i="28"/>
  <c r="G33" i="28"/>
  <c r="G32" i="28"/>
  <c r="G31" i="28"/>
  <c r="G30" i="28"/>
  <c r="G29" i="28"/>
  <c r="G28" i="28"/>
  <c r="G27" i="28"/>
  <c r="G26" i="28"/>
  <c r="G25" i="28"/>
  <c r="G24" i="28"/>
  <c r="G23" i="28"/>
  <c r="G22" i="28"/>
  <c r="G21" i="28"/>
  <c r="G20" i="28"/>
  <c r="G19" i="28"/>
  <c r="G18" i="28"/>
  <c r="G17" i="28"/>
  <c r="G16" i="28"/>
  <c r="G15" i="28"/>
  <c r="G14" i="28"/>
  <c r="G13" i="28"/>
  <c r="G12" i="28"/>
  <c r="G11" i="28"/>
  <c r="G10" i="28"/>
  <c r="G9" i="28"/>
  <c r="G8" i="28"/>
  <c r="G7" i="28"/>
  <c r="G37" i="28"/>
  <c r="G6" i="28"/>
  <c r="G5" i="28"/>
  <c r="G4" i="28"/>
  <c r="G101" i="28" s="1"/>
  <c r="T3" i="2"/>
  <c r="T4" i="2" s="1"/>
  <c r="U3" i="2"/>
  <c r="U4" i="2" s="1"/>
  <c r="W3" i="2"/>
  <c r="W4" i="2" s="1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7" i="2"/>
  <c r="F7" i="2"/>
  <c r="C7" i="31" l="1"/>
  <c r="B74" i="31"/>
  <c r="C94" i="31"/>
  <c r="D50" i="31"/>
  <c r="C9" i="31"/>
  <c r="B76" i="31"/>
  <c r="C53" i="31"/>
  <c r="B53" i="31"/>
  <c r="C85" i="31"/>
  <c r="C42" i="31"/>
  <c r="D94" i="31"/>
  <c r="B52" i="31"/>
  <c r="D82" i="31"/>
  <c r="C41" i="31"/>
  <c r="D30" i="31"/>
  <c r="C30" i="31"/>
  <c r="B34" i="31"/>
  <c r="C21" i="31"/>
  <c r="C74" i="31"/>
  <c r="B29" i="31"/>
  <c r="C73" i="31"/>
  <c r="B98" i="31"/>
  <c r="B12" i="31"/>
  <c r="D62" i="31"/>
  <c r="B93" i="31"/>
  <c r="B10" i="31"/>
  <c r="C62" i="31"/>
  <c r="D18" i="31"/>
  <c r="C10" i="31"/>
  <c r="AK101" i="28"/>
  <c r="B92" i="31"/>
  <c r="B69" i="31"/>
  <c r="B50" i="31"/>
  <c r="B28" i="31"/>
  <c r="B6" i="31"/>
  <c r="C93" i="31"/>
  <c r="C82" i="31"/>
  <c r="D70" i="31"/>
  <c r="C61" i="31"/>
  <c r="C50" i="31"/>
  <c r="D38" i="31"/>
  <c r="C29" i="31"/>
  <c r="C18" i="31"/>
  <c r="B101" i="31"/>
  <c r="B90" i="31"/>
  <c r="B68" i="31"/>
  <c r="B45" i="31"/>
  <c r="B26" i="31"/>
  <c r="D6" i="31"/>
  <c r="D90" i="31"/>
  <c r="C81" i="31"/>
  <c r="C70" i="31"/>
  <c r="D58" i="31"/>
  <c r="C49" i="31"/>
  <c r="C38" i="31"/>
  <c r="D26" i="31"/>
  <c r="C17" i="31"/>
  <c r="B85" i="31"/>
  <c r="B66" i="31"/>
  <c r="B44" i="31"/>
  <c r="B21" i="31"/>
  <c r="C101" i="31"/>
  <c r="C90" i="31"/>
  <c r="D78" i="31"/>
  <c r="C69" i="31"/>
  <c r="C58" i="31"/>
  <c r="D46" i="31"/>
  <c r="C37" i="31"/>
  <c r="C26" i="31"/>
  <c r="D14" i="31"/>
  <c r="B84" i="31"/>
  <c r="B61" i="31"/>
  <c r="B42" i="31"/>
  <c r="B20" i="31"/>
  <c r="D98" i="31"/>
  <c r="C89" i="31"/>
  <c r="C78" i="31"/>
  <c r="D66" i="31"/>
  <c r="C57" i="31"/>
  <c r="C46" i="31"/>
  <c r="D34" i="31"/>
  <c r="C25" i="31"/>
  <c r="C14" i="31"/>
  <c r="B82" i="31"/>
  <c r="B60" i="31"/>
  <c r="B37" i="31"/>
  <c r="B18" i="31"/>
  <c r="C98" i="31"/>
  <c r="D86" i="31"/>
  <c r="C77" i="31"/>
  <c r="C66" i="31"/>
  <c r="D54" i="31"/>
  <c r="C45" i="31"/>
  <c r="C34" i="31"/>
  <c r="D22" i="31"/>
  <c r="C13" i="31"/>
  <c r="B100" i="31"/>
  <c r="B77" i="31"/>
  <c r="B58" i="31"/>
  <c r="B36" i="31"/>
  <c r="B13" i="31"/>
  <c r="C97" i="31"/>
  <c r="C86" i="31"/>
  <c r="D74" i="31"/>
  <c r="C65" i="31"/>
  <c r="C54" i="31"/>
  <c r="D42" i="31"/>
  <c r="C33" i="31"/>
  <c r="C22" i="31"/>
  <c r="D10" i="31"/>
  <c r="B99" i="31"/>
  <c r="B91" i="31"/>
  <c r="B83" i="31"/>
  <c r="B75" i="31"/>
  <c r="B67" i="31"/>
  <c r="B59" i="31"/>
  <c r="B51" i="31"/>
  <c r="B43" i="31"/>
  <c r="B35" i="31"/>
  <c r="B27" i="31"/>
  <c r="B19" i="31"/>
  <c r="B11" i="31"/>
  <c r="D101" i="31"/>
  <c r="D97" i="31"/>
  <c r="D93" i="31"/>
  <c r="D89" i="31"/>
  <c r="D85" i="31"/>
  <c r="D81" i="31"/>
  <c r="D77" i="31"/>
  <c r="D73" i="31"/>
  <c r="D69" i="31"/>
  <c r="D65" i="31"/>
  <c r="D61" i="31"/>
  <c r="D57" i="31"/>
  <c r="D53" i="31"/>
  <c r="D49" i="31"/>
  <c r="D45" i="31"/>
  <c r="D41" i="31"/>
  <c r="D37" i="31"/>
  <c r="D33" i="31"/>
  <c r="D29" i="31"/>
  <c r="D25" i="31"/>
  <c r="D21" i="31"/>
  <c r="D17" i="31"/>
  <c r="D13" i="31"/>
  <c r="D9" i="31"/>
  <c r="B97" i="31"/>
  <c r="B89" i="31"/>
  <c r="B81" i="31"/>
  <c r="B73" i="31"/>
  <c r="B65" i="31"/>
  <c r="B57" i="31"/>
  <c r="B49" i="31"/>
  <c r="B41" i="31"/>
  <c r="B33" i="31"/>
  <c r="B25" i="31"/>
  <c r="B17" i="31"/>
  <c r="B9" i="31"/>
  <c r="D100" i="31"/>
  <c r="D96" i="31"/>
  <c r="D92" i="31"/>
  <c r="D88" i="31"/>
  <c r="D84" i="31"/>
  <c r="D80" i="31"/>
  <c r="D76" i="31"/>
  <c r="D72" i="31"/>
  <c r="D68" i="31"/>
  <c r="D64" i="31"/>
  <c r="D60" i="31"/>
  <c r="D56" i="31"/>
  <c r="D52" i="31"/>
  <c r="D48" i="31"/>
  <c r="D44" i="31"/>
  <c r="D40" i="31"/>
  <c r="D36" i="31"/>
  <c r="D32" i="31"/>
  <c r="D28" i="31"/>
  <c r="D24" i="31"/>
  <c r="D20" i="31"/>
  <c r="D16" i="31"/>
  <c r="D12" i="31"/>
  <c r="D8" i="31"/>
  <c r="B96" i="31"/>
  <c r="B88" i="31"/>
  <c r="B80" i="31"/>
  <c r="B72" i="31"/>
  <c r="B64" i="31"/>
  <c r="B56" i="31"/>
  <c r="B48" i="31"/>
  <c r="B40" i="31"/>
  <c r="B32" i="31"/>
  <c r="B24" i="31"/>
  <c r="B16" i="31"/>
  <c r="B8" i="31"/>
  <c r="C100" i="31"/>
  <c r="C96" i="31"/>
  <c r="C92" i="31"/>
  <c r="C88" i="31"/>
  <c r="C84" i="31"/>
  <c r="C80" i="31"/>
  <c r="C76" i="31"/>
  <c r="C72" i="31"/>
  <c r="C68" i="31"/>
  <c r="C64" i="31"/>
  <c r="C60" i="31"/>
  <c r="C56" i="31"/>
  <c r="C52" i="31"/>
  <c r="C48" i="31"/>
  <c r="C44" i="31"/>
  <c r="C40" i="31"/>
  <c r="C36" i="31"/>
  <c r="C32" i="31"/>
  <c r="C28" i="31"/>
  <c r="C24" i="31"/>
  <c r="C20" i="31"/>
  <c r="C16" i="31"/>
  <c r="C12" i="31"/>
  <c r="C8" i="31"/>
  <c r="B95" i="31"/>
  <c r="B87" i="31"/>
  <c r="B79" i="31"/>
  <c r="B71" i="31"/>
  <c r="B63" i="31"/>
  <c r="B55" i="31"/>
  <c r="B47" i="31"/>
  <c r="B39" i="31"/>
  <c r="B31" i="31"/>
  <c r="B23" i="31"/>
  <c r="B15" i="31"/>
  <c r="B7" i="31"/>
  <c r="D99" i="31"/>
  <c r="D95" i="31"/>
  <c r="D91" i="31"/>
  <c r="D87" i="31"/>
  <c r="D83" i="31"/>
  <c r="D79" i="31"/>
  <c r="D75" i="31"/>
  <c r="D71" i="31"/>
  <c r="D67" i="31"/>
  <c r="D63" i="31"/>
  <c r="D59" i="31"/>
  <c r="D55" i="31"/>
  <c r="D51" i="31"/>
  <c r="D47" i="31"/>
  <c r="D43" i="31"/>
  <c r="D39" i="31"/>
  <c r="D35" i="31"/>
  <c r="D31" i="31"/>
  <c r="D27" i="31"/>
  <c r="D23" i="31"/>
  <c r="D19" i="31"/>
  <c r="D15" i="31"/>
  <c r="D11" i="31"/>
  <c r="D7" i="31"/>
  <c r="B94" i="31"/>
  <c r="B86" i="31"/>
  <c r="B78" i="31"/>
  <c r="B70" i="31"/>
  <c r="B62" i="31"/>
  <c r="B54" i="31"/>
  <c r="B46" i="31"/>
  <c r="B38" i="31"/>
  <c r="B30" i="31"/>
  <c r="B22" i="31"/>
  <c r="B14" i="31"/>
  <c r="C6" i="31"/>
  <c r="C99" i="31"/>
  <c r="C95" i="31"/>
  <c r="C91" i="31"/>
  <c r="C87" i="31"/>
  <c r="C83" i="31"/>
  <c r="C79" i="31"/>
  <c r="C75" i="31"/>
  <c r="C71" i="31"/>
  <c r="C67" i="31"/>
  <c r="C63" i="31"/>
  <c r="C59" i="31"/>
  <c r="C55" i="31"/>
  <c r="C51" i="31"/>
  <c r="C47" i="31"/>
  <c r="C43" i="31"/>
  <c r="C39" i="31"/>
  <c r="C35" i="31"/>
  <c r="C31" i="31"/>
  <c r="C27" i="31"/>
  <c r="C23" i="31"/>
  <c r="C19" i="31"/>
  <c r="C15" i="31"/>
  <c r="C11" i="31"/>
  <c r="EC102" i="31"/>
  <c r="EJ102" i="31"/>
  <c r="CN102" i="31"/>
  <c r="AR102" i="31"/>
  <c r="AK20" i="30"/>
  <c r="AK21" i="30"/>
  <c r="AK22" i="30"/>
  <c r="AK40" i="30"/>
  <c r="AK41" i="30"/>
  <c r="AK42" i="30"/>
  <c r="AK72" i="30"/>
  <c r="AK73" i="30"/>
  <c r="AK74" i="30"/>
  <c r="AK84" i="30"/>
  <c r="AK85" i="30"/>
  <c r="AK86" i="30"/>
  <c r="AK8" i="30"/>
  <c r="AK9" i="30"/>
  <c r="AK10" i="30"/>
  <c r="AK52" i="30"/>
  <c r="AK53" i="30"/>
  <c r="AK54" i="30"/>
  <c r="AK4" i="30"/>
  <c r="AK5" i="30"/>
  <c r="AK6" i="30"/>
  <c r="AK36" i="30"/>
  <c r="AK37" i="30"/>
  <c r="AK38" i="30"/>
  <c r="AK68" i="30"/>
  <c r="AK69" i="30"/>
  <c r="AK70" i="30"/>
  <c r="AK99" i="30"/>
  <c r="AK16" i="30"/>
  <c r="AK17" i="30"/>
  <c r="AK18" i="30"/>
  <c r="AK32" i="30"/>
  <c r="AK33" i="30"/>
  <c r="AK34" i="30"/>
  <c r="AK48" i="30"/>
  <c r="AK49" i="30"/>
  <c r="AK50" i="30"/>
  <c r="AK64" i="30"/>
  <c r="AK65" i="30"/>
  <c r="AK66" i="30"/>
  <c r="AK96" i="30"/>
  <c r="AK97" i="30"/>
  <c r="CG102" i="31"/>
  <c r="AF101" i="28"/>
  <c r="AA101" i="28"/>
  <c r="B85" i="30"/>
  <c r="B44" i="30"/>
  <c r="B61" i="30"/>
  <c r="B93" i="30"/>
  <c r="B73" i="30"/>
  <c r="B52" i="30"/>
  <c r="B29" i="30"/>
  <c r="B92" i="30"/>
  <c r="B69" i="30"/>
  <c r="B49" i="30"/>
  <c r="B89" i="30"/>
  <c r="B68" i="30"/>
  <c r="B45" i="30"/>
  <c r="B25" i="30"/>
  <c r="B21" i="30"/>
  <c r="B20" i="30"/>
  <c r="B17" i="30"/>
  <c r="B13" i="30"/>
  <c r="B65" i="30"/>
  <c r="B84" i="30"/>
  <c r="B41" i="30"/>
  <c r="B101" i="30"/>
  <c r="B81" i="30"/>
  <c r="B60" i="30"/>
  <c r="B37" i="30"/>
  <c r="B100" i="30"/>
  <c r="B77" i="30"/>
  <c r="B57" i="30"/>
  <c r="B36" i="30"/>
  <c r="B97" i="30"/>
  <c r="B76" i="30"/>
  <c r="B53" i="30"/>
  <c r="B33" i="30"/>
  <c r="B12" i="30"/>
  <c r="B9" i="30"/>
  <c r="B28" i="30"/>
  <c r="B6" i="30"/>
  <c r="B94" i="30"/>
  <c r="B86" i="30"/>
  <c r="B78" i="30"/>
  <c r="B70" i="30"/>
  <c r="B62" i="30"/>
  <c r="B54" i="30"/>
  <c r="B46" i="30"/>
  <c r="B38" i="30"/>
  <c r="B30" i="30"/>
  <c r="B22" i="30"/>
  <c r="B14" i="30"/>
  <c r="B99" i="30"/>
  <c r="B91" i="30"/>
  <c r="B83" i="30"/>
  <c r="B75" i="30"/>
  <c r="B67" i="30"/>
  <c r="B59" i="30"/>
  <c r="B51" i="30"/>
  <c r="B43" i="30"/>
  <c r="B35" i="30"/>
  <c r="B27" i="30"/>
  <c r="B19" i="30"/>
  <c r="B11" i="30"/>
  <c r="B98" i="30"/>
  <c r="B90" i="30"/>
  <c r="B82" i="30"/>
  <c r="B74" i="30"/>
  <c r="B66" i="30"/>
  <c r="B58" i="30"/>
  <c r="B50" i="30"/>
  <c r="B42" i="30"/>
  <c r="B34" i="30"/>
  <c r="B26" i="30"/>
  <c r="B18" i="30"/>
  <c r="B10" i="30"/>
  <c r="B96" i="30"/>
  <c r="B88" i="30"/>
  <c r="B80" i="30"/>
  <c r="B72" i="30"/>
  <c r="B64" i="30"/>
  <c r="B56" i="30"/>
  <c r="B48" i="30"/>
  <c r="B40" i="30"/>
  <c r="B32" i="30"/>
  <c r="B24" i="30"/>
  <c r="B16" i="30"/>
  <c r="B8" i="30"/>
  <c r="B95" i="30"/>
  <c r="B87" i="30"/>
  <c r="B79" i="30"/>
  <c r="B71" i="30"/>
  <c r="B63" i="30"/>
  <c r="B55" i="30"/>
  <c r="B47" i="30"/>
  <c r="B39" i="30"/>
  <c r="B31" i="30"/>
  <c r="B23" i="30"/>
  <c r="B15" i="30"/>
  <c r="E101" i="27"/>
  <c r="E3" i="2"/>
  <c r="I76" i="4" l="1"/>
  <c r="I80" i="4"/>
  <c r="B113" i="27"/>
  <c r="I78" i="4"/>
  <c r="D104" i="31"/>
  <c r="B104" i="31"/>
  <c r="H94" i="1"/>
  <c r="C104" i="31"/>
  <c r="AK102" i="31"/>
  <c r="G7" i="2"/>
  <c r="G8" i="2"/>
  <c r="EO8" i="2" s="1"/>
  <c r="G9" i="2"/>
  <c r="EL9" i="2" s="1"/>
  <c r="G10" i="2"/>
  <c r="EO10" i="2" s="1"/>
  <c r="G11" i="2"/>
  <c r="EO11" i="2" s="1"/>
  <c r="G12" i="2"/>
  <c r="EL12" i="2" s="1"/>
  <c r="G13" i="2"/>
  <c r="EO13" i="2" s="1"/>
  <c r="G14" i="2"/>
  <c r="EO14" i="2" s="1"/>
  <c r="G15" i="2"/>
  <c r="EO15" i="2" s="1"/>
  <c r="G16" i="2"/>
  <c r="EL16" i="2" s="1"/>
  <c r="EK7" i="2"/>
  <c r="F8" i="2"/>
  <c r="F9" i="2"/>
  <c r="EK9" i="2" s="1"/>
  <c r="F10" i="2"/>
  <c r="EK10" i="2" s="1"/>
  <c r="F11" i="2"/>
  <c r="EN11" i="2" s="1"/>
  <c r="F12" i="2"/>
  <c r="F13" i="2"/>
  <c r="EN13" i="2" s="1"/>
  <c r="F14" i="2"/>
  <c r="EN14" i="2" s="1"/>
  <c r="F15" i="2"/>
  <c r="EK15" i="2" s="1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G17" i="2"/>
  <c r="EL17" i="2" s="1"/>
  <c r="G18" i="2"/>
  <c r="EL18" i="2" s="1"/>
  <c r="G19" i="2"/>
  <c r="EO19" i="2" s="1"/>
  <c r="G20" i="2"/>
  <c r="EL20" i="2" s="1"/>
  <c r="G21" i="2"/>
  <c r="EO21" i="2" s="1"/>
  <c r="G22" i="2"/>
  <c r="EL22" i="2" s="1"/>
  <c r="G23" i="2"/>
  <c r="EO23" i="2" s="1"/>
  <c r="G24" i="2"/>
  <c r="EO24" i="2" s="1"/>
  <c r="G25" i="2"/>
  <c r="EL25" i="2" s="1"/>
  <c r="G26" i="2"/>
  <c r="EL26" i="2" s="1"/>
  <c r="G27" i="2"/>
  <c r="EO27" i="2" s="1"/>
  <c r="G28" i="2"/>
  <c r="EO28" i="2" s="1"/>
  <c r="G29" i="2"/>
  <c r="EO29" i="2" s="1"/>
  <c r="G30" i="2"/>
  <c r="EL30" i="2" s="1"/>
  <c r="G31" i="2"/>
  <c r="EO31" i="2" s="1"/>
  <c r="G32" i="2"/>
  <c r="EO32" i="2" s="1"/>
  <c r="G33" i="2"/>
  <c r="EL33" i="2" s="1"/>
  <c r="G34" i="2"/>
  <c r="EL34" i="2" s="1"/>
  <c r="G35" i="2"/>
  <c r="EO35" i="2" s="1"/>
  <c r="G36" i="2"/>
  <c r="EO36" i="2" s="1"/>
  <c r="G37" i="2"/>
  <c r="EO37" i="2" s="1"/>
  <c r="G38" i="2"/>
  <c r="EL38" i="2" s="1"/>
  <c r="G39" i="2"/>
  <c r="EO39" i="2" s="1"/>
  <c r="G40" i="2"/>
  <c r="EO40" i="2" s="1"/>
  <c r="G41" i="2"/>
  <c r="EL41" i="2" s="1"/>
  <c r="G42" i="2"/>
  <c r="EL42" i="2" s="1"/>
  <c r="G43" i="2"/>
  <c r="EL43" i="2" s="1"/>
  <c r="G44" i="2"/>
  <c r="EO44" i="2" s="1"/>
  <c r="G45" i="2"/>
  <c r="EO45" i="2" s="1"/>
  <c r="G46" i="2"/>
  <c r="EL46" i="2" s="1"/>
  <c r="G47" i="2"/>
  <c r="EO47" i="2" s="1"/>
  <c r="G48" i="2"/>
  <c r="EL48" i="2" s="1"/>
  <c r="G49" i="2"/>
  <c r="EL49" i="2" s="1"/>
  <c r="G50" i="2"/>
  <c r="EL50" i="2" s="1"/>
  <c r="G51" i="2"/>
  <c r="EO51" i="2" s="1"/>
  <c r="G52" i="2"/>
  <c r="EL52" i="2" s="1"/>
  <c r="G53" i="2"/>
  <c r="EO53" i="2" s="1"/>
  <c r="G54" i="2"/>
  <c r="EL54" i="2" s="1"/>
  <c r="G55" i="2"/>
  <c r="EL55" i="2" s="1"/>
  <c r="G56" i="2"/>
  <c r="EO56" i="2" s="1"/>
  <c r="G57" i="2"/>
  <c r="EL57" i="2" s="1"/>
  <c r="G58" i="2"/>
  <c r="EL58" i="2" s="1"/>
  <c r="G59" i="2"/>
  <c r="EL59" i="2" s="1"/>
  <c r="G60" i="2"/>
  <c r="EO60" i="2" s="1"/>
  <c r="G61" i="2"/>
  <c r="EO61" i="2" s="1"/>
  <c r="G62" i="2"/>
  <c r="EL62" i="2" s="1"/>
  <c r="G63" i="2"/>
  <c r="EO63" i="2" s="1"/>
  <c r="G64" i="2"/>
  <c r="EO64" i="2" s="1"/>
  <c r="G65" i="2"/>
  <c r="EL65" i="2" s="1"/>
  <c r="G66" i="2"/>
  <c r="EL66" i="2" s="1"/>
  <c r="G67" i="2"/>
  <c r="EO67" i="2" s="1"/>
  <c r="G68" i="2"/>
  <c r="EO68" i="2" s="1"/>
  <c r="G69" i="2"/>
  <c r="EO69" i="2" s="1"/>
  <c r="G70" i="2"/>
  <c r="EL70" i="2" s="1"/>
  <c r="G71" i="2"/>
  <c r="EL71" i="2" s="1"/>
  <c r="G72" i="2"/>
  <c r="EL72" i="2" s="1"/>
  <c r="G73" i="2"/>
  <c r="EL73" i="2" s="1"/>
  <c r="G74" i="2"/>
  <c r="EL74" i="2" s="1"/>
  <c r="G75" i="2"/>
  <c r="G76" i="2"/>
  <c r="EO76" i="2" s="1"/>
  <c r="G77" i="2"/>
  <c r="EO77" i="2" s="1"/>
  <c r="G78" i="2"/>
  <c r="EL78" i="2" s="1"/>
  <c r="G79" i="2"/>
  <c r="EO79" i="2" s="1"/>
  <c r="G80" i="2"/>
  <c r="EL80" i="2" s="1"/>
  <c r="G81" i="2"/>
  <c r="EL81" i="2" s="1"/>
  <c r="G82" i="2"/>
  <c r="EL82" i="2" s="1"/>
  <c r="G83" i="2"/>
  <c r="EO83" i="2" s="1"/>
  <c r="G84" i="2"/>
  <c r="EL84" i="2" s="1"/>
  <c r="G85" i="2"/>
  <c r="EO85" i="2" s="1"/>
  <c r="G86" i="2"/>
  <c r="EL86" i="2" s="1"/>
  <c r="G87" i="2"/>
  <c r="EO87" i="2" s="1"/>
  <c r="G88" i="2"/>
  <c r="EO88" i="2" s="1"/>
  <c r="G89" i="2"/>
  <c r="EL89" i="2" s="1"/>
  <c r="G90" i="2"/>
  <c r="EL90" i="2" s="1"/>
  <c r="G91" i="2"/>
  <c r="EO91" i="2" s="1"/>
  <c r="G92" i="2"/>
  <c r="EL92" i="2" s="1"/>
  <c r="G93" i="2"/>
  <c r="EO93" i="2" s="1"/>
  <c r="G94" i="2"/>
  <c r="EL94" i="2" s="1"/>
  <c r="G95" i="2"/>
  <c r="EO95" i="2" s="1"/>
  <c r="G96" i="2"/>
  <c r="EO96" i="2" s="1"/>
  <c r="G97" i="2"/>
  <c r="EL97" i="2" s="1"/>
  <c r="G98" i="2"/>
  <c r="EL98" i="2" s="1"/>
  <c r="G99" i="2"/>
  <c r="EO99" i="2" s="1"/>
  <c r="G100" i="2"/>
  <c r="EO100" i="2" s="1"/>
  <c r="G101" i="2"/>
  <c r="EO101" i="2" s="1"/>
  <c r="G102" i="2"/>
  <c r="EL102" i="2" s="1"/>
  <c r="F16" i="2"/>
  <c r="EN16" i="2" s="1"/>
  <c r="F17" i="2"/>
  <c r="EN17" i="2" s="1"/>
  <c r="F18" i="2"/>
  <c r="EN18" i="2" s="1"/>
  <c r="F19" i="2"/>
  <c r="EK19" i="2" s="1"/>
  <c r="F20" i="2"/>
  <c r="EK20" i="2" s="1"/>
  <c r="F21" i="2"/>
  <c r="EN21" i="2" s="1"/>
  <c r="F22" i="2"/>
  <c r="EN22" i="2" s="1"/>
  <c r="F23" i="2"/>
  <c r="EK23" i="2" s="1"/>
  <c r="F24" i="2"/>
  <c r="EN24" i="2" s="1"/>
  <c r="F25" i="2"/>
  <c r="EK25" i="2" s="1"/>
  <c r="F26" i="2"/>
  <c r="EN26" i="2" s="1"/>
  <c r="F27" i="2"/>
  <c r="EN27" i="2" s="1"/>
  <c r="F28" i="2"/>
  <c r="EK28" i="2" s="1"/>
  <c r="F29" i="2"/>
  <c r="EK29" i="2" s="1"/>
  <c r="F30" i="2"/>
  <c r="EN30" i="2" s="1"/>
  <c r="F31" i="2"/>
  <c r="EN31" i="2" s="1"/>
  <c r="F32" i="2"/>
  <c r="EN32" i="2" s="1"/>
  <c r="F33" i="2"/>
  <c r="EN33" i="2" s="1"/>
  <c r="F34" i="2"/>
  <c r="EN34" i="2" s="1"/>
  <c r="F35" i="2"/>
  <c r="EN35" i="2" s="1"/>
  <c r="F36" i="2"/>
  <c r="EK36" i="2" s="1"/>
  <c r="F37" i="2"/>
  <c r="EN37" i="2" s="1"/>
  <c r="F38" i="2"/>
  <c r="EN38" i="2" s="1"/>
  <c r="F39" i="2"/>
  <c r="EN39" i="2" s="1"/>
  <c r="F40" i="2"/>
  <c r="EN40" i="2" s="1"/>
  <c r="F41" i="2"/>
  <c r="EK41" i="2" s="1"/>
  <c r="F42" i="2"/>
  <c r="EN42" i="2" s="1"/>
  <c r="F43" i="2"/>
  <c r="EN43" i="2" s="1"/>
  <c r="F44" i="2"/>
  <c r="EK44" i="2" s="1"/>
  <c r="F45" i="2"/>
  <c r="EK45" i="2" s="1"/>
  <c r="F46" i="2"/>
  <c r="EN46" i="2" s="1"/>
  <c r="F47" i="2"/>
  <c r="EN47" i="2" s="1"/>
  <c r="F48" i="2"/>
  <c r="EN48" i="2" s="1"/>
  <c r="F49" i="2"/>
  <c r="EN49" i="2" s="1"/>
  <c r="F50" i="2"/>
  <c r="EN50" i="2" s="1"/>
  <c r="F51" i="2"/>
  <c r="EK51" i="2" s="1"/>
  <c r="F52" i="2"/>
  <c r="EK52" i="2" s="1"/>
  <c r="F53" i="2"/>
  <c r="EK53" i="2" s="1"/>
  <c r="F54" i="2"/>
  <c r="EN54" i="2" s="1"/>
  <c r="F55" i="2"/>
  <c r="EK55" i="2" s="1"/>
  <c r="F56" i="2"/>
  <c r="EN56" i="2" s="1"/>
  <c r="F57" i="2"/>
  <c r="EK57" i="2" s="1"/>
  <c r="F58" i="2"/>
  <c r="EN58" i="2" s="1"/>
  <c r="F59" i="2"/>
  <c r="EN59" i="2" s="1"/>
  <c r="F60" i="2"/>
  <c r="EK60" i="2" s="1"/>
  <c r="F61" i="2"/>
  <c r="EK61" i="2" s="1"/>
  <c r="F62" i="2"/>
  <c r="EN62" i="2" s="1"/>
  <c r="F63" i="2"/>
  <c r="EN63" i="2" s="1"/>
  <c r="F64" i="2"/>
  <c r="EN64" i="2" s="1"/>
  <c r="F65" i="2"/>
  <c r="EN65" i="2" s="1"/>
  <c r="F66" i="2"/>
  <c r="EN66" i="2" s="1"/>
  <c r="F67" i="2"/>
  <c r="EN67" i="2" s="1"/>
  <c r="F68" i="2"/>
  <c r="EK68" i="2" s="1"/>
  <c r="F69" i="2"/>
  <c r="EN69" i="2" s="1"/>
  <c r="F70" i="2"/>
  <c r="EN70" i="2" s="1"/>
  <c r="F71" i="2"/>
  <c r="EK71" i="2" s="1"/>
  <c r="F72" i="2"/>
  <c r="EN72" i="2" s="1"/>
  <c r="F73" i="2"/>
  <c r="EK73" i="2" s="1"/>
  <c r="F74" i="2"/>
  <c r="EN74" i="2" s="1"/>
  <c r="F75" i="2"/>
  <c r="EN75" i="2" s="1"/>
  <c r="F76" i="2"/>
  <c r="EK76" i="2" s="1"/>
  <c r="F77" i="2"/>
  <c r="EN77" i="2" s="1"/>
  <c r="F78" i="2"/>
  <c r="EN78" i="2" s="1"/>
  <c r="F79" i="2"/>
  <c r="EN79" i="2" s="1"/>
  <c r="F80" i="2"/>
  <c r="EN80" i="2" s="1"/>
  <c r="F81" i="2"/>
  <c r="EN81" i="2" s="1"/>
  <c r="F82" i="2"/>
  <c r="EN82" i="2" s="1"/>
  <c r="F83" i="2"/>
  <c r="EK83" i="2" s="1"/>
  <c r="F84" i="2"/>
  <c r="EK84" i="2" s="1"/>
  <c r="F85" i="2"/>
  <c r="EN85" i="2" s="1"/>
  <c r="F86" i="2"/>
  <c r="EN86" i="2" s="1"/>
  <c r="F87" i="2"/>
  <c r="EN87" i="2" s="1"/>
  <c r="F88" i="2"/>
  <c r="EN88" i="2" s="1"/>
  <c r="F89" i="2"/>
  <c r="EK89" i="2" s="1"/>
  <c r="F90" i="2"/>
  <c r="EN90" i="2" s="1"/>
  <c r="F91" i="2"/>
  <c r="EN91" i="2" s="1"/>
  <c r="F92" i="2"/>
  <c r="EK92" i="2" s="1"/>
  <c r="F93" i="2"/>
  <c r="EK93" i="2" s="1"/>
  <c r="F94" i="2"/>
  <c r="EN94" i="2" s="1"/>
  <c r="F95" i="2"/>
  <c r="EN95" i="2" s="1"/>
  <c r="F96" i="2"/>
  <c r="EN96" i="2" s="1"/>
  <c r="F97" i="2"/>
  <c r="EN97" i="2" s="1"/>
  <c r="F98" i="2"/>
  <c r="EN98" i="2" s="1"/>
  <c r="F99" i="2"/>
  <c r="EK99" i="2" s="1"/>
  <c r="F100" i="2"/>
  <c r="EK100" i="2" s="1"/>
  <c r="F101" i="2"/>
  <c r="EN101" i="2" s="1"/>
  <c r="F102" i="2"/>
  <c r="EN102" i="2" s="1"/>
  <c r="X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3" i="27"/>
  <c r="EF7" i="2"/>
  <c r="EG7" i="2"/>
  <c r="F91" i="1"/>
  <c r="H108" i="1"/>
  <c r="B3" i="28"/>
  <c r="B9" i="28" s="1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H58" i="1"/>
  <c r="H59" i="1"/>
  <c r="H60" i="1"/>
  <c r="H61" i="1"/>
  <c r="H62" i="1"/>
  <c r="H63" i="1"/>
  <c r="H64" i="1"/>
  <c r="H65" i="1"/>
  <c r="H67" i="1"/>
  <c r="H69" i="1"/>
  <c r="H70" i="1"/>
  <c r="H71" i="1"/>
  <c r="H72" i="1"/>
  <c r="H73" i="1"/>
  <c r="H74" i="1"/>
  <c r="H75" i="1"/>
  <c r="H77" i="1"/>
  <c r="H78" i="1"/>
  <c r="H79" i="1"/>
  <c r="H80" i="1"/>
  <c r="H81" i="1"/>
  <c r="H82" i="1"/>
  <c r="H84" i="1"/>
  <c r="H86" i="1"/>
  <c r="H87" i="1"/>
  <c r="H88" i="1"/>
  <c r="H89" i="1"/>
  <c r="H91" i="1"/>
  <c r="H92" i="1"/>
  <c r="H93" i="1"/>
  <c r="H95" i="1"/>
  <c r="H96" i="1"/>
  <c r="H97" i="1"/>
  <c r="H98" i="1"/>
  <c r="H99" i="1"/>
  <c r="H101" i="1"/>
  <c r="H102" i="1"/>
  <c r="H103" i="1"/>
  <c r="H104" i="1"/>
  <c r="H105" i="1"/>
  <c r="H107" i="1"/>
  <c r="H109" i="1"/>
  <c r="H110" i="1"/>
  <c r="H111" i="1"/>
  <c r="H112" i="1"/>
  <c r="H113" i="1"/>
  <c r="H114" i="1"/>
  <c r="H115" i="1"/>
  <c r="H52" i="1"/>
  <c r="H53" i="1"/>
  <c r="H54" i="1"/>
  <c r="H55" i="1"/>
  <c r="H56" i="1"/>
  <c r="G51" i="1"/>
  <c r="H8" i="2"/>
  <c r="G61" i="1"/>
  <c r="G85" i="1"/>
  <c r="G101" i="1"/>
  <c r="G110" i="1"/>
  <c r="G91" i="1"/>
  <c r="G92" i="1"/>
  <c r="G77" i="1"/>
  <c r="G84" i="1"/>
  <c r="G67" i="1"/>
  <c r="G69" i="1"/>
  <c r="G58" i="1"/>
  <c r="G59" i="1"/>
  <c r="G60" i="1"/>
  <c r="G70" i="1"/>
  <c r="G93" i="1"/>
  <c r="G94" i="1"/>
  <c r="G78" i="1"/>
  <c r="G52" i="1"/>
  <c r="G107" i="1"/>
  <c r="G102" i="1"/>
  <c r="G108" i="1"/>
  <c r="G53" i="1"/>
  <c r="G87" i="1"/>
  <c r="G79" i="1"/>
  <c r="G71" i="1"/>
  <c r="G72" i="1"/>
  <c r="G109" i="1"/>
  <c r="G111" i="1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7" i="2"/>
  <c r="Q5" i="4"/>
  <c r="F42" i="1" s="1"/>
  <c r="F38" i="1"/>
  <c r="G96" i="1"/>
  <c r="F60" i="1"/>
  <c r="F69" i="1"/>
  <c r="F96" i="1"/>
  <c r="F59" i="1"/>
  <c r="F70" i="1"/>
  <c r="F93" i="1"/>
  <c r="F52" i="1"/>
  <c r="F107" i="1"/>
  <c r="F102" i="1"/>
  <c r="F53" i="1"/>
  <c r="F85" i="1"/>
  <c r="F87" i="1"/>
  <c r="F79" i="1"/>
  <c r="F71" i="1"/>
  <c r="F109" i="1"/>
  <c r="F110" i="1"/>
  <c r="F111" i="1"/>
  <c r="F101" i="1"/>
  <c r="F27" i="1"/>
  <c r="F54" i="1"/>
  <c r="G54" i="1"/>
  <c r="F55" i="1"/>
  <c r="G55" i="1"/>
  <c r="F56" i="1"/>
  <c r="G56" i="1"/>
  <c r="F58" i="1"/>
  <c r="F62" i="1"/>
  <c r="G62" i="1"/>
  <c r="F63" i="1"/>
  <c r="G63" i="1"/>
  <c r="F64" i="1"/>
  <c r="G64" i="1"/>
  <c r="F65" i="1"/>
  <c r="G65" i="1"/>
  <c r="F67" i="1"/>
  <c r="F73" i="1"/>
  <c r="G73" i="1"/>
  <c r="F74" i="1"/>
  <c r="G74" i="1"/>
  <c r="F75" i="1"/>
  <c r="G75" i="1"/>
  <c r="F77" i="1"/>
  <c r="F78" i="1"/>
  <c r="F80" i="1"/>
  <c r="G80" i="1"/>
  <c r="F81" i="1"/>
  <c r="G81" i="1"/>
  <c r="F82" i="1"/>
  <c r="G82" i="1"/>
  <c r="F84" i="1"/>
  <c r="F86" i="1"/>
  <c r="G86" i="1"/>
  <c r="F88" i="1"/>
  <c r="G88" i="1"/>
  <c r="F89" i="1"/>
  <c r="G89" i="1"/>
  <c r="F92" i="1"/>
  <c r="F94" i="1"/>
  <c r="F95" i="1"/>
  <c r="G95" i="1"/>
  <c r="F97" i="1"/>
  <c r="G97" i="1"/>
  <c r="F98" i="1"/>
  <c r="G98" i="1"/>
  <c r="F99" i="1"/>
  <c r="G99" i="1"/>
  <c r="F103" i="1"/>
  <c r="G103" i="1"/>
  <c r="F104" i="1"/>
  <c r="G104" i="1"/>
  <c r="F105" i="1"/>
  <c r="G105" i="1"/>
  <c r="F112" i="1"/>
  <c r="G112" i="1"/>
  <c r="F113" i="1"/>
  <c r="G113" i="1"/>
  <c r="F114" i="1"/>
  <c r="G114" i="1"/>
  <c r="F115" i="1"/>
  <c r="G115" i="1"/>
  <c r="Q6" i="4"/>
  <c r="Q4" i="4"/>
  <c r="EO75" i="2" l="1"/>
  <c r="B19" i="27"/>
  <c r="B27" i="27"/>
  <c r="B35" i="27"/>
  <c r="B43" i="27"/>
  <c r="B51" i="27"/>
  <c r="B59" i="27"/>
  <c r="B67" i="27"/>
  <c r="B75" i="27"/>
  <c r="B83" i="27"/>
  <c r="B91" i="27"/>
  <c r="B99" i="27"/>
  <c r="B107" i="27"/>
  <c r="B47" i="27"/>
  <c r="B33" i="27"/>
  <c r="B97" i="27"/>
  <c r="B20" i="27"/>
  <c r="B28" i="27"/>
  <c r="B36" i="27"/>
  <c r="B44" i="27"/>
  <c r="B52" i="27"/>
  <c r="B60" i="27"/>
  <c r="B68" i="27"/>
  <c r="B76" i="27"/>
  <c r="B84" i="27"/>
  <c r="B92" i="27"/>
  <c r="B100" i="27"/>
  <c r="B15" i="27"/>
  <c r="B39" i="27"/>
  <c r="B71" i="27"/>
  <c r="B95" i="27"/>
  <c r="B25" i="27"/>
  <c r="B57" i="27"/>
  <c r="B81" i="27"/>
  <c r="B105" i="27"/>
  <c r="B13" i="27"/>
  <c r="B21" i="27"/>
  <c r="B29" i="27"/>
  <c r="B37" i="27"/>
  <c r="B45" i="27"/>
  <c r="B53" i="27"/>
  <c r="B61" i="27"/>
  <c r="B69" i="27"/>
  <c r="B77" i="27"/>
  <c r="B85" i="27"/>
  <c r="B93" i="27"/>
  <c r="B101" i="27"/>
  <c r="B31" i="27"/>
  <c r="B55" i="27"/>
  <c r="B79" i="27"/>
  <c r="B103" i="27"/>
  <c r="B73" i="27"/>
  <c r="B18" i="27"/>
  <c r="B42" i="27"/>
  <c r="B58" i="27"/>
  <c r="B74" i="27"/>
  <c r="B90" i="27"/>
  <c r="B106" i="27"/>
  <c r="B14" i="27"/>
  <c r="B22" i="27"/>
  <c r="B30" i="27"/>
  <c r="B38" i="27"/>
  <c r="B46" i="27"/>
  <c r="B54" i="27"/>
  <c r="B62" i="27"/>
  <c r="B70" i="27"/>
  <c r="B78" i="27"/>
  <c r="B86" i="27"/>
  <c r="B94" i="27"/>
  <c r="B102" i="27"/>
  <c r="B23" i="27"/>
  <c r="B63" i="27"/>
  <c r="B87" i="27"/>
  <c r="B12" i="27"/>
  <c r="B26" i="27"/>
  <c r="B50" i="27"/>
  <c r="B66" i="27"/>
  <c r="B82" i="27"/>
  <c r="B98" i="27"/>
  <c r="B16" i="27"/>
  <c r="B24" i="27"/>
  <c r="B32" i="27"/>
  <c r="B40" i="27"/>
  <c r="B48" i="27"/>
  <c r="B56" i="27"/>
  <c r="B64" i="27"/>
  <c r="B72" i="27"/>
  <c r="B80" i="27"/>
  <c r="B88" i="27"/>
  <c r="B96" i="27"/>
  <c r="B104" i="27"/>
  <c r="B17" i="27"/>
  <c r="B41" i="27"/>
  <c r="B49" i="27"/>
  <c r="B65" i="27"/>
  <c r="B89" i="27"/>
  <c r="B34" i="27"/>
  <c r="F3" i="2"/>
  <c r="B54" i="28"/>
  <c r="B58" i="28"/>
  <c r="B56" i="28"/>
  <c r="B52" i="28"/>
  <c r="B99" i="28"/>
  <c r="B87" i="28"/>
  <c r="B77" i="28"/>
  <c r="B67" i="28"/>
  <c r="B55" i="28"/>
  <c r="B45" i="28"/>
  <c r="B32" i="28"/>
  <c r="B22" i="28"/>
  <c r="B12" i="28"/>
  <c r="B95" i="28"/>
  <c r="B75" i="28"/>
  <c r="B43" i="28"/>
  <c r="B20" i="28"/>
  <c r="B104" i="28"/>
  <c r="B40" i="28"/>
  <c r="B93" i="28"/>
  <c r="B96" i="28"/>
  <c r="B86" i="28"/>
  <c r="B76" i="28"/>
  <c r="B64" i="28"/>
  <c r="B44" i="28"/>
  <c r="B31" i="28"/>
  <c r="B21" i="28"/>
  <c r="B11" i="28"/>
  <c r="B85" i="28"/>
  <c r="B63" i="28"/>
  <c r="B30" i="28"/>
  <c r="B94" i="28"/>
  <c r="B72" i="28"/>
  <c r="B62" i="28"/>
  <c r="B19" i="28"/>
  <c r="B103" i="28"/>
  <c r="B39" i="28"/>
  <c r="B53" i="28"/>
  <c r="B84" i="28"/>
  <c r="B29" i="28"/>
  <c r="B83" i="28"/>
  <c r="B28" i="28"/>
  <c r="B71" i="28"/>
  <c r="B51" i="28"/>
  <c r="B102" i="28"/>
  <c r="B92" i="28"/>
  <c r="B80" i="28"/>
  <c r="B70" i="28"/>
  <c r="B60" i="28"/>
  <c r="B48" i="28"/>
  <c r="B37" i="28"/>
  <c r="B27" i="28"/>
  <c r="B15" i="28"/>
  <c r="B101" i="28"/>
  <c r="B79" i="28"/>
  <c r="B59" i="28"/>
  <c r="B36" i="28"/>
  <c r="B14" i="28"/>
  <c r="B100" i="28"/>
  <c r="B78" i="28"/>
  <c r="B35" i="28"/>
  <c r="B13" i="28"/>
  <c r="B91" i="28"/>
  <c r="B69" i="28"/>
  <c r="B47" i="28"/>
  <c r="B24" i="28"/>
  <c r="B88" i="28"/>
  <c r="B68" i="28"/>
  <c r="B46" i="28"/>
  <c r="B23" i="28"/>
  <c r="B61" i="28"/>
  <c r="B16" i="28"/>
  <c r="B17" i="28"/>
  <c r="B65" i="28"/>
  <c r="B42" i="28"/>
  <c r="B33" i="28"/>
  <c r="B50" i="28"/>
  <c r="B38" i="28"/>
  <c r="B57" i="28"/>
  <c r="B81" i="28"/>
  <c r="B89" i="28"/>
  <c r="B66" i="28"/>
  <c r="B10" i="28"/>
  <c r="B74" i="28"/>
  <c r="B82" i="28"/>
  <c r="B41" i="28"/>
  <c r="B90" i="28"/>
  <c r="B34" i="28"/>
  <c r="B73" i="28"/>
  <c r="B97" i="28"/>
  <c r="B25" i="28"/>
  <c r="B26" i="28"/>
  <c r="B49" i="28"/>
  <c r="B98" i="28"/>
  <c r="B18" i="28"/>
  <c r="I3" i="2"/>
  <c r="H3" i="2"/>
  <c r="G3" i="2"/>
  <c r="EK8" i="2"/>
  <c r="D3" i="2"/>
  <c r="EM80" i="2"/>
  <c r="EM32" i="2"/>
  <c r="EM8" i="2"/>
  <c r="EM71" i="2"/>
  <c r="EJ39" i="2"/>
  <c r="EJ78" i="2"/>
  <c r="EJ54" i="2"/>
  <c r="EJ22" i="2"/>
  <c r="EM93" i="2"/>
  <c r="EJ100" i="2"/>
  <c r="EJ92" i="2"/>
  <c r="EJ84" i="2"/>
  <c r="EJ76" i="2"/>
  <c r="EJ68" i="2"/>
  <c r="EM60" i="2"/>
  <c r="EJ52" i="2"/>
  <c r="EM44" i="2"/>
  <c r="EJ36" i="2"/>
  <c r="EJ28" i="2"/>
  <c r="EJ20" i="2"/>
  <c r="EM12" i="2"/>
  <c r="EJ64" i="2"/>
  <c r="EM40" i="2"/>
  <c r="EM79" i="2"/>
  <c r="EM47" i="2"/>
  <c r="EM102" i="2"/>
  <c r="EM62" i="2"/>
  <c r="EM30" i="2"/>
  <c r="EJ77" i="2"/>
  <c r="EJ53" i="2"/>
  <c r="EM37" i="2"/>
  <c r="EJ21" i="2"/>
  <c r="EM99" i="2"/>
  <c r="EM91" i="2"/>
  <c r="EM83" i="2"/>
  <c r="EM75" i="2"/>
  <c r="EM67" i="2"/>
  <c r="EM59" i="2"/>
  <c r="EM51" i="2"/>
  <c r="EM43" i="2"/>
  <c r="EM35" i="2"/>
  <c r="EM27" i="2"/>
  <c r="EM19" i="2"/>
  <c r="EM11" i="2"/>
  <c r="EM96" i="2"/>
  <c r="EJ72" i="2"/>
  <c r="EJ56" i="2"/>
  <c r="EM24" i="2"/>
  <c r="EM16" i="2"/>
  <c r="EM87" i="2"/>
  <c r="EJ55" i="2"/>
  <c r="EM23" i="2"/>
  <c r="EM7" i="2"/>
  <c r="EM94" i="2"/>
  <c r="EM70" i="2"/>
  <c r="EM38" i="2"/>
  <c r="EM101" i="2"/>
  <c r="EJ85" i="2"/>
  <c r="EM61" i="2"/>
  <c r="EJ45" i="2"/>
  <c r="EJ29" i="2"/>
  <c r="EM98" i="2"/>
  <c r="EJ90" i="2"/>
  <c r="EJ82" i="2"/>
  <c r="EM74" i="2"/>
  <c r="EJ66" i="2"/>
  <c r="EJ58" i="2"/>
  <c r="EJ50" i="2"/>
  <c r="EM42" i="2"/>
  <c r="EM34" i="2"/>
  <c r="EJ26" i="2"/>
  <c r="EJ18" i="2"/>
  <c r="EJ10" i="2"/>
  <c r="EJ88" i="2"/>
  <c r="EJ48" i="2"/>
  <c r="EJ95" i="2"/>
  <c r="EJ63" i="2"/>
  <c r="EJ31" i="2"/>
  <c r="EJ15" i="2"/>
  <c r="EM86" i="2"/>
  <c r="EJ46" i="2"/>
  <c r="EM14" i="2"/>
  <c r="EM69" i="2"/>
  <c r="EJ13" i="2"/>
  <c r="EM97" i="2"/>
  <c r="EM89" i="2"/>
  <c r="EM81" i="2"/>
  <c r="EJ73" i="2"/>
  <c r="EM65" i="2"/>
  <c r="EJ57" i="2"/>
  <c r="EJ49" i="2"/>
  <c r="EM41" i="2"/>
  <c r="EM33" i="2"/>
  <c r="EM25" i="2"/>
  <c r="EM17" i="2"/>
  <c r="EM9" i="2"/>
  <c r="EM72" i="2"/>
  <c r="EN7" i="2"/>
  <c r="EN15" i="2"/>
  <c r="EJ62" i="2"/>
  <c r="EM15" i="2"/>
  <c r="EJ38" i="2"/>
  <c r="EJ14" i="2"/>
  <c r="EN8" i="2"/>
  <c r="EM78" i="2"/>
  <c r="EJ94" i="2"/>
  <c r="EJ70" i="2"/>
  <c r="EM54" i="2"/>
  <c r="EM46" i="2"/>
  <c r="EM22" i="2"/>
  <c r="EJ23" i="2"/>
  <c r="EL8" i="2"/>
  <c r="EJ47" i="2"/>
  <c r="EM95" i="2"/>
  <c r="EJ7" i="2"/>
  <c r="EJ87" i="2"/>
  <c r="EM31" i="2"/>
  <c r="EJ79" i="2"/>
  <c r="EJ71" i="2"/>
  <c r="EM55" i="2"/>
  <c r="EK14" i="2"/>
  <c r="EM77" i="2"/>
  <c r="EJ93" i="2"/>
  <c r="EJ37" i="2"/>
  <c r="EM21" i="2"/>
  <c r="EM29" i="2"/>
  <c r="EJ101" i="2"/>
  <c r="EM85" i="2"/>
  <c r="EJ69" i="2"/>
  <c r="EM53" i="2"/>
  <c r="EM13" i="2"/>
  <c r="EM45" i="2"/>
  <c r="EJ61" i="2"/>
  <c r="EJ24" i="2"/>
  <c r="EJ8" i="2"/>
  <c r="EL11" i="2"/>
  <c r="EJ86" i="2"/>
  <c r="EK21" i="2"/>
  <c r="EJ30" i="2"/>
  <c r="EJ102" i="2"/>
  <c r="EL40" i="2"/>
  <c r="EM88" i="2"/>
  <c r="EM73" i="2"/>
  <c r="EK90" i="2"/>
  <c r="EK75" i="2"/>
  <c r="EO16" i="2"/>
  <c r="EM56" i="2"/>
  <c r="EJ40" i="2"/>
  <c r="EK59" i="2"/>
  <c r="EK96" i="2"/>
  <c r="EK33" i="2"/>
  <c r="EM57" i="2"/>
  <c r="EN83" i="2"/>
  <c r="EL83" i="2"/>
  <c r="EL75" i="2"/>
  <c r="EK69" i="2"/>
  <c r="EK26" i="2"/>
  <c r="EN55" i="2"/>
  <c r="EK16" i="2"/>
  <c r="EK27" i="2"/>
  <c r="EK49" i="2"/>
  <c r="EK97" i="2"/>
  <c r="EK39" i="2"/>
  <c r="EK34" i="2"/>
  <c r="EK43" i="2"/>
  <c r="EN57" i="2"/>
  <c r="EN29" i="2"/>
  <c r="EN23" i="2"/>
  <c r="EN99" i="2"/>
  <c r="EM48" i="2"/>
  <c r="EN9" i="2"/>
  <c r="EK58" i="2"/>
  <c r="EN19" i="2"/>
  <c r="EN73" i="2"/>
  <c r="EN45" i="2"/>
  <c r="EK67" i="2"/>
  <c r="EK35" i="2"/>
  <c r="EK17" i="2"/>
  <c r="EM58" i="2"/>
  <c r="EN71" i="2"/>
  <c r="EN53" i="2"/>
  <c r="EN41" i="2"/>
  <c r="EK91" i="2"/>
  <c r="EJ74" i="2"/>
  <c r="EK87" i="2"/>
  <c r="EK32" i="2"/>
  <c r="EN93" i="2"/>
  <c r="EN51" i="2"/>
  <c r="EO72" i="2"/>
  <c r="EL27" i="2"/>
  <c r="EK85" i="2"/>
  <c r="EJ9" i="2"/>
  <c r="EK74" i="2"/>
  <c r="EK42" i="2"/>
  <c r="EL69" i="2"/>
  <c r="EL45" i="2"/>
  <c r="EL64" i="2"/>
  <c r="EJ81" i="2"/>
  <c r="EL63" i="2"/>
  <c r="EJ96" i="2"/>
  <c r="EJ80" i="2"/>
  <c r="EJ34" i="2"/>
  <c r="EL51" i="2"/>
  <c r="EK81" i="2"/>
  <c r="EK66" i="2"/>
  <c r="EK48" i="2"/>
  <c r="EM64" i="2"/>
  <c r="EN61" i="2"/>
  <c r="EO38" i="2"/>
  <c r="EK37" i="2"/>
  <c r="EJ98" i="2"/>
  <c r="EJ33" i="2"/>
  <c r="EJ17" i="2"/>
  <c r="EL95" i="2"/>
  <c r="EL47" i="2"/>
  <c r="EK98" i="2"/>
  <c r="EK80" i="2"/>
  <c r="EK65" i="2"/>
  <c r="EM50" i="2"/>
  <c r="EJ97" i="2"/>
  <c r="EK101" i="2"/>
  <c r="EJ32" i="2"/>
  <c r="EJ16" i="2"/>
  <c r="EL87" i="2"/>
  <c r="EK77" i="2"/>
  <c r="EK64" i="2"/>
  <c r="EM49" i="2"/>
  <c r="EN89" i="2"/>
  <c r="EN25" i="2"/>
  <c r="EN10" i="2"/>
  <c r="EO66" i="2"/>
  <c r="EO59" i="2"/>
  <c r="EL31" i="2"/>
  <c r="EO98" i="2"/>
  <c r="EO84" i="2"/>
  <c r="EO71" i="2"/>
  <c r="EO12" i="2"/>
  <c r="EL19" i="2"/>
  <c r="EO9" i="2"/>
  <c r="EL101" i="2"/>
  <c r="EO82" i="2"/>
  <c r="EO48" i="2"/>
  <c r="EO54" i="2"/>
  <c r="EO86" i="2"/>
  <c r="EJ42" i="2"/>
  <c r="EM82" i="2"/>
  <c r="EM18" i="2"/>
  <c r="EO70" i="2"/>
  <c r="EO20" i="2"/>
  <c r="EJ41" i="2"/>
  <c r="EL91" i="2"/>
  <c r="EL68" i="2"/>
  <c r="EL56" i="2"/>
  <c r="EL24" i="2"/>
  <c r="EL23" i="2"/>
  <c r="EJ89" i="2"/>
  <c r="EJ65" i="2"/>
  <c r="EJ25" i="2"/>
  <c r="EL88" i="2"/>
  <c r="EL37" i="2"/>
  <c r="EK95" i="2"/>
  <c r="EK63" i="2"/>
  <c r="EK31" i="2"/>
  <c r="EL79" i="2"/>
  <c r="EK79" i="2"/>
  <c r="EK47" i="2"/>
  <c r="EK88" i="2"/>
  <c r="EK56" i="2"/>
  <c r="EK24" i="2"/>
  <c r="EL36" i="2"/>
  <c r="EK82" i="2"/>
  <c r="EK72" i="2"/>
  <c r="EK50" i="2"/>
  <c r="EK40" i="2"/>
  <c r="EK18" i="2"/>
  <c r="EO62" i="2"/>
  <c r="EO43" i="2"/>
  <c r="EO30" i="2"/>
  <c r="EL61" i="2"/>
  <c r="EL39" i="2"/>
  <c r="EO80" i="2"/>
  <c r="EL77" i="2"/>
  <c r="EO102" i="2"/>
  <c r="EO52" i="2"/>
  <c r="EL100" i="2"/>
  <c r="EO18" i="2"/>
  <c r="EL28" i="2"/>
  <c r="EL10" i="2"/>
  <c r="EO94" i="2"/>
  <c r="EO50" i="2"/>
  <c r="EO34" i="2"/>
  <c r="EJ44" i="2"/>
  <c r="EM52" i="2"/>
  <c r="EL76" i="2"/>
  <c r="EJ60" i="2"/>
  <c r="EM68" i="2"/>
  <c r="EL99" i="2"/>
  <c r="EL85" i="2"/>
  <c r="EL60" i="2"/>
  <c r="EL35" i="2"/>
  <c r="EL21" i="2"/>
  <c r="EM76" i="2"/>
  <c r="EM66" i="2"/>
  <c r="EM39" i="2"/>
  <c r="EM10" i="2"/>
  <c r="EN100" i="2"/>
  <c r="EN92" i="2"/>
  <c r="EN84" i="2"/>
  <c r="EN76" i="2"/>
  <c r="EN68" i="2"/>
  <c r="EN60" i="2"/>
  <c r="EN52" i="2"/>
  <c r="EN44" i="2"/>
  <c r="EN36" i="2"/>
  <c r="EN28" i="2"/>
  <c r="EN20" i="2"/>
  <c r="EO92" i="2"/>
  <c r="EO74" i="2"/>
  <c r="EO42" i="2"/>
  <c r="EL96" i="2"/>
  <c r="EL32" i="2"/>
  <c r="EK102" i="2"/>
  <c r="EK94" i="2"/>
  <c r="EK86" i="2"/>
  <c r="EK78" i="2"/>
  <c r="EK70" i="2"/>
  <c r="EK62" i="2"/>
  <c r="EK54" i="2"/>
  <c r="EK46" i="2"/>
  <c r="EK38" i="2"/>
  <c r="EK30" i="2"/>
  <c r="EK22" i="2"/>
  <c r="EM84" i="2"/>
  <c r="EM20" i="2"/>
  <c r="EO78" i="2"/>
  <c r="EO55" i="2"/>
  <c r="EO46" i="2"/>
  <c r="EL44" i="2"/>
  <c r="EK12" i="2"/>
  <c r="EM92" i="2"/>
  <c r="EM28" i="2"/>
  <c r="EL93" i="2"/>
  <c r="EL29" i="2"/>
  <c r="EK11" i="2"/>
  <c r="EM100" i="2"/>
  <c r="EM90" i="2"/>
  <c r="EM63" i="2"/>
  <c r="EM36" i="2"/>
  <c r="EM26" i="2"/>
  <c r="EN12" i="2"/>
  <c r="EO22" i="2"/>
  <c r="EL7" i="2"/>
  <c r="EL67" i="2"/>
  <c r="EL53" i="2"/>
  <c r="EL13" i="2"/>
  <c r="EO90" i="2"/>
  <c r="EO58" i="2"/>
  <c r="EO26" i="2"/>
  <c r="EL14" i="2"/>
  <c r="EO97" i="2"/>
  <c r="EO89" i="2"/>
  <c r="EO81" i="2"/>
  <c r="EO73" i="2"/>
  <c r="EO65" i="2"/>
  <c r="EO57" i="2"/>
  <c r="EO49" i="2"/>
  <c r="EO41" i="2"/>
  <c r="EO33" i="2"/>
  <c r="EO25" i="2"/>
  <c r="EO17" i="2"/>
  <c r="EL15" i="2"/>
  <c r="EO7" i="2"/>
  <c r="EJ12" i="2"/>
  <c r="EJ99" i="2"/>
  <c r="EJ91" i="2"/>
  <c r="EJ83" i="2"/>
  <c r="EJ75" i="2"/>
  <c r="EJ67" i="2"/>
  <c r="EJ59" i="2"/>
  <c r="EJ51" i="2"/>
  <c r="EJ43" i="2"/>
  <c r="EJ35" i="2"/>
  <c r="EJ27" i="2"/>
  <c r="EJ19" i="2"/>
  <c r="EJ11" i="2"/>
  <c r="EK13" i="2"/>
  <c r="EH62" i="2" l="1"/>
  <c r="B107" i="28"/>
  <c r="EH86" i="2"/>
  <c r="EH83" i="2"/>
  <c r="EH87" i="2"/>
  <c r="B110" i="27"/>
  <c r="L86" i="2"/>
  <c r="L37" i="2"/>
  <c r="L22" i="2"/>
  <c r="L72" i="2"/>
  <c r="L34" i="2"/>
  <c r="L48" i="2"/>
  <c r="L30" i="2"/>
  <c r="L12" i="2"/>
  <c r="L89" i="2"/>
  <c r="L80" i="2"/>
  <c r="L57" i="2"/>
  <c r="L78" i="2"/>
  <c r="L32" i="2"/>
  <c r="L44" i="2"/>
  <c r="L95" i="2"/>
  <c r="L52" i="2"/>
  <c r="L31" i="2"/>
  <c r="L81" i="2"/>
  <c r="L47" i="2"/>
  <c r="L61" i="2"/>
  <c r="L11" i="2"/>
  <c r="L25" i="2"/>
  <c r="L15" i="2"/>
  <c r="L55" i="2"/>
  <c r="L94" i="2"/>
  <c r="L69" i="2"/>
  <c r="L36" i="2"/>
  <c r="L41" i="2"/>
  <c r="L40" i="2"/>
  <c r="L17" i="2"/>
  <c r="L90" i="2"/>
  <c r="L59" i="2"/>
  <c r="L73" i="2"/>
  <c r="L51" i="2"/>
  <c r="L38" i="2"/>
  <c r="L27" i="2"/>
  <c r="L91" i="2"/>
  <c r="L33" i="2"/>
  <c r="L19" i="2"/>
  <c r="L68" i="2"/>
  <c r="L99" i="2"/>
  <c r="L71" i="2"/>
  <c r="L85" i="2"/>
  <c r="L88" i="2"/>
  <c r="L50" i="2"/>
  <c r="L39" i="2"/>
  <c r="L42" i="2"/>
  <c r="L82" i="2"/>
  <c r="L9" i="2"/>
  <c r="L66" i="2"/>
  <c r="L56" i="2"/>
  <c r="L60" i="2"/>
  <c r="L49" i="2"/>
  <c r="L26" i="2"/>
  <c r="L76" i="2"/>
  <c r="L58" i="2"/>
  <c r="L35" i="2"/>
  <c r="L83" i="2"/>
  <c r="L97" i="2"/>
  <c r="L29" i="2"/>
  <c r="L62" i="2"/>
  <c r="L64" i="2"/>
  <c r="L13" i="2"/>
  <c r="L46" i="2"/>
  <c r="L63" i="2"/>
  <c r="L23" i="2"/>
  <c r="L79" i="2"/>
  <c r="L20" i="2"/>
  <c r="L84" i="2"/>
  <c r="L67" i="2"/>
  <c r="L45" i="2"/>
  <c r="L96" i="2"/>
  <c r="L16" i="2"/>
  <c r="L65" i="2"/>
  <c r="L74" i="2"/>
  <c r="L75" i="2"/>
  <c r="L18" i="2"/>
  <c r="L21" i="2"/>
  <c r="L43" i="2"/>
  <c r="L100" i="2"/>
  <c r="L98" i="2"/>
  <c r="L28" i="2"/>
  <c r="L92" i="2"/>
  <c r="L77" i="2"/>
  <c r="L54" i="2"/>
  <c r="L10" i="2"/>
  <c r="L24" i="2"/>
  <c r="L53" i="2"/>
  <c r="L102" i="2"/>
  <c r="L87" i="2"/>
  <c r="L101" i="2"/>
  <c r="L70" i="2"/>
  <c r="L93" i="2"/>
  <c r="L7" i="2"/>
  <c r="EH78" i="2" l="1"/>
  <c r="EH22" i="2"/>
  <c r="EH61" i="2"/>
  <c r="EH72" i="2"/>
  <c r="EH81" i="2"/>
  <c r="EH14" i="2"/>
  <c r="EH23" i="2"/>
  <c r="EH56" i="2"/>
  <c r="EH43" i="2"/>
  <c r="EH91" i="2"/>
  <c r="EH16" i="2"/>
  <c r="EH79" i="2"/>
  <c r="EH77" i="2"/>
  <c r="EH17" i="2"/>
  <c r="EH18" i="2"/>
  <c r="EH39" i="2"/>
  <c r="EH88" i="2"/>
  <c r="EH12" i="2"/>
  <c r="EH93" i="2"/>
  <c r="EH42" i="2"/>
  <c r="EH76" i="2"/>
  <c r="EH85" i="2"/>
  <c r="EH92" i="2"/>
  <c r="EH71" i="2"/>
  <c r="EH24" i="2"/>
  <c r="EH74" i="2"/>
  <c r="EH40" i="2"/>
  <c r="EH63" i="2"/>
  <c r="EH28" i="2"/>
  <c r="EH10" i="2"/>
  <c r="EH34" i="2"/>
  <c r="EH37" i="2"/>
  <c r="EH9" i="2"/>
  <c r="EH96" i="2"/>
  <c r="EH101" i="2"/>
  <c r="EH48" i="2"/>
  <c r="EH84" i="2"/>
  <c r="EH55" i="2"/>
  <c r="EH11" i="2"/>
  <c r="EH75" i="2"/>
  <c r="EH46" i="2"/>
  <c r="EH89" i="2"/>
  <c r="EH20" i="2"/>
  <c r="EH41" i="2"/>
  <c r="EH69" i="2"/>
  <c r="EH97" i="2"/>
  <c r="EH26" i="2"/>
  <c r="EH8" i="2"/>
  <c r="EH98" i="2"/>
  <c r="EH49" i="2"/>
  <c r="EH82" i="2"/>
  <c r="EH52" i="2"/>
  <c r="EH95" i="2"/>
  <c r="EH66" i="2"/>
  <c r="EH58" i="2"/>
  <c r="EH67" i="2"/>
  <c r="EH70" i="2"/>
  <c r="N95" i="2"/>
  <c r="N62" i="2"/>
  <c r="N34" i="2"/>
  <c r="N67" i="2"/>
  <c r="N72" i="2"/>
  <c r="N10" i="2"/>
  <c r="N101" i="2"/>
  <c r="N87" i="2"/>
  <c r="N70" i="2"/>
  <c r="N28" i="2"/>
  <c r="N71" i="2"/>
  <c r="N76" i="2"/>
  <c r="N12" i="2"/>
  <c r="N86" i="2"/>
  <c r="N43" i="2"/>
  <c r="N52" i="2"/>
  <c r="N39" i="2"/>
  <c r="N17" i="2"/>
  <c r="N18" i="2"/>
  <c r="N84" i="2"/>
  <c r="N40" i="2"/>
  <c r="N11" i="2"/>
  <c r="N77" i="2"/>
  <c r="N75" i="2"/>
  <c r="N20" i="2"/>
  <c r="N41" i="2"/>
  <c r="N61" i="2"/>
  <c r="N79" i="2"/>
  <c r="N78" i="2"/>
  <c r="N83" i="2"/>
  <c r="N69" i="2"/>
  <c r="N92" i="2"/>
  <c r="N66" i="2"/>
  <c r="N81" i="2"/>
  <c r="N98" i="2"/>
  <c r="N63" i="2"/>
  <c r="N9" i="2"/>
  <c r="N22" i="2"/>
  <c r="N74" i="2"/>
  <c r="N96" i="2"/>
  <c r="N46" i="2"/>
  <c r="N58" i="2"/>
  <c r="N82" i="2"/>
  <c r="N89" i="2"/>
  <c r="N37" i="2"/>
  <c r="J3" i="2"/>
  <c r="L14" i="2"/>
  <c r="N14" i="2" s="1"/>
  <c r="N93" i="2"/>
  <c r="N88" i="2"/>
  <c r="N97" i="2"/>
  <c r="EH100" i="2"/>
  <c r="N100" i="2"/>
  <c r="EH54" i="2"/>
  <c r="N54" i="2"/>
  <c r="EH38" i="2"/>
  <c r="N38" i="2"/>
  <c r="EH15" i="2"/>
  <c r="N15" i="2"/>
  <c r="EH65" i="2"/>
  <c r="N65" i="2"/>
  <c r="EH99" i="2"/>
  <c r="N99" i="2"/>
  <c r="EH51" i="2"/>
  <c r="N51" i="2"/>
  <c r="EH30" i="2"/>
  <c r="N30" i="2"/>
  <c r="EH19" i="2"/>
  <c r="N19" i="2"/>
  <c r="EH25" i="2"/>
  <c r="N25" i="2"/>
  <c r="EH35" i="2"/>
  <c r="N35" i="2"/>
  <c r="EH31" i="2"/>
  <c r="N31" i="2"/>
  <c r="EH27" i="2"/>
  <c r="N27" i="2"/>
  <c r="EH90" i="2"/>
  <c r="N90" i="2"/>
  <c r="EH13" i="2"/>
  <c r="N13" i="2"/>
  <c r="EH44" i="2"/>
  <c r="N44" i="2"/>
  <c r="EH59" i="2"/>
  <c r="N59" i="2"/>
  <c r="EH64" i="2"/>
  <c r="N64" i="2"/>
  <c r="EH73" i="2"/>
  <c r="N73" i="2"/>
  <c r="EH36" i="2"/>
  <c r="N36" i="2"/>
  <c r="EH45" i="2"/>
  <c r="N45" i="2"/>
  <c r="EH57" i="2"/>
  <c r="N57" i="2"/>
  <c r="EH80" i="2"/>
  <c r="N80" i="2"/>
  <c r="EH47" i="2"/>
  <c r="N47" i="2"/>
  <c r="EH94" i="2"/>
  <c r="N94" i="2"/>
  <c r="EH33" i="2"/>
  <c r="N33" i="2"/>
  <c r="EH53" i="2"/>
  <c r="N53" i="2"/>
  <c r="EH32" i="2"/>
  <c r="N32" i="2"/>
  <c r="EH29" i="2"/>
  <c r="N29" i="2"/>
  <c r="EH68" i="2"/>
  <c r="N68" i="2"/>
  <c r="EH50" i="2"/>
  <c r="N50" i="2"/>
  <c r="EH21" i="2"/>
  <c r="N21" i="2"/>
  <c r="EH102" i="2"/>
  <c r="N102" i="2"/>
  <c r="EH60" i="2"/>
  <c r="N60" i="2"/>
  <c r="N23" i="2"/>
  <c r="N85" i="2"/>
  <c r="N56" i="2"/>
  <c r="N42" i="2"/>
  <c r="N91" i="2"/>
  <c r="N16" i="2"/>
  <c r="N26" i="2"/>
  <c r="N55" i="2"/>
  <c r="N48" i="2"/>
  <c r="N49" i="2"/>
  <c r="N24" i="2"/>
  <c r="EH7" i="2"/>
  <c r="L8" i="2"/>
  <c r="L3" i="2" l="1"/>
  <c r="N7" i="2"/>
  <c r="P3" i="2"/>
  <c r="N3" i="2" s="1"/>
  <c r="N8" i="2"/>
</calcChain>
</file>

<file path=xl/sharedStrings.xml><?xml version="1.0" encoding="utf-8"?>
<sst xmlns="http://schemas.openxmlformats.org/spreadsheetml/2006/main" count="921" uniqueCount="293">
  <si>
    <t>Results</t>
  </si>
  <si>
    <t>Backup Sources</t>
  </si>
  <si>
    <t>Enter values for each source that may apply:</t>
  </si>
  <si>
    <t>Battery Electric Vehicle</t>
  </si>
  <si>
    <t>Plug-In Hybrid Electric Vehicle</t>
  </si>
  <si>
    <t>Portable Generator</t>
  </si>
  <si>
    <t>Gasoline</t>
  </si>
  <si>
    <t>Home Size</t>
  </si>
  <si>
    <t>Enter the quantity running simultaneously:</t>
  </si>
  <si>
    <t>Running Watts</t>
  </si>
  <si>
    <t>Starting Watts</t>
  </si>
  <si>
    <t>Communications</t>
  </si>
  <si>
    <t>Cell phone battery charger</t>
  </si>
  <si>
    <t>Home phone</t>
  </si>
  <si>
    <t>Radio</t>
  </si>
  <si>
    <t>Cooking</t>
  </si>
  <si>
    <t>Electric kettle</t>
  </si>
  <si>
    <t>Electric oven</t>
  </si>
  <si>
    <t>Electric stove - 8" element</t>
  </si>
  <si>
    <t>Microwave</t>
  </si>
  <si>
    <t>Discretionary Appliances</t>
  </si>
  <si>
    <t>Dishwasher - cool dry</t>
  </si>
  <si>
    <t>Electric dryer</t>
  </si>
  <si>
    <t>EV - level 1 charging 120 V (max)</t>
  </si>
  <si>
    <t>Satelite receiver</t>
  </si>
  <si>
    <t>Vacuum cleaner</t>
  </si>
  <si>
    <t>Washing machine</t>
  </si>
  <si>
    <t>Entertainment</t>
  </si>
  <si>
    <t>Computer (laptop)</t>
  </si>
  <si>
    <t>Home internet router</t>
  </si>
  <si>
    <t>Television - 49" LED</t>
  </si>
  <si>
    <t>Food Preservation</t>
  </si>
  <si>
    <t>Deep freezer</t>
  </si>
  <si>
    <t>Heating/ Cooling/ HVAC</t>
  </si>
  <si>
    <t>Ceiling fan</t>
  </si>
  <si>
    <t>Furnace fan blower - 1/3 HP</t>
  </si>
  <si>
    <t>Heat pump</t>
  </si>
  <si>
    <t>Space heater</t>
  </si>
  <si>
    <t>Lighting</t>
  </si>
  <si>
    <t>Light bulb (common)</t>
  </si>
  <si>
    <t>Light bulb (LED)</t>
  </si>
  <si>
    <t>Water/ Wastewater</t>
  </si>
  <si>
    <t>Hot water dispenser</t>
  </si>
  <si>
    <t>Pool pump - 1 1/2 HP</t>
  </si>
  <si>
    <t>Water filter and cooler</t>
  </si>
  <si>
    <t>Standby generator</t>
  </si>
  <si>
    <t>Appliances Running (Running Watts)</t>
  </si>
  <si>
    <t>Appliances Running (Starting Watts)</t>
  </si>
  <si>
    <t>Time Intervals</t>
  </si>
  <si>
    <t>Air compressor -  1 HP</t>
  </si>
  <si>
    <t>Air fryer</t>
  </si>
  <si>
    <t>Amazon echo</t>
  </si>
  <si>
    <t>Apple TV</t>
  </si>
  <si>
    <t>AV receiver</t>
  </si>
  <si>
    <t>Blender</t>
  </si>
  <si>
    <t>Central AC - 10,000 BTU</t>
  </si>
  <si>
    <t>Central AC - 24,000 BTU</t>
  </si>
  <si>
    <t>Central AC - 40,000 BTU</t>
  </si>
  <si>
    <t>Coffee machine</t>
  </si>
  <si>
    <t>Computer (desktop)</t>
  </si>
  <si>
    <t>Computer monitor (LCD)</t>
  </si>
  <si>
    <t>Curling iron</t>
  </si>
  <si>
    <t>Deep fryer</t>
  </si>
  <si>
    <t>Dehumidifier</t>
  </si>
  <si>
    <t>Dishwasher - hot dry</t>
  </si>
  <si>
    <t>Electric blanket</t>
  </si>
  <si>
    <t>Electric can opener</t>
  </si>
  <si>
    <t>Electric grill</t>
  </si>
  <si>
    <t>Electric shaver</t>
  </si>
  <si>
    <t>Espresso coffee machine</t>
  </si>
  <si>
    <t>EV - level 1 charging 120 V (min)</t>
  </si>
  <si>
    <t>EV - level 2 charging 240 V (max)</t>
  </si>
  <si>
    <t>EV - level 2 charging 240 V (min)</t>
  </si>
  <si>
    <t>Evaporative AC</t>
  </si>
  <si>
    <t>Food dehydrator</t>
  </si>
  <si>
    <t>Food processor</t>
  </si>
  <si>
    <t>Fryer</t>
  </si>
  <si>
    <t>Furnace fan blower - 1/2 HP</t>
  </si>
  <si>
    <t>Furnace fan blower - 1/4 HP</t>
  </si>
  <si>
    <t>Furnace fan blower - 1/6 HP</t>
  </si>
  <si>
    <t>Furnace fan blower - 1/8 HP</t>
  </si>
  <si>
    <t>Game console</t>
  </si>
  <si>
    <t>Garage door opener - 1/2 HP</t>
  </si>
  <si>
    <t>Garbage disposal</t>
  </si>
  <si>
    <t>Gas dryer</t>
  </si>
  <si>
    <t>Hair dryer</t>
  </si>
  <si>
    <t>Hot plate</t>
  </si>
  <si>
    <t>Humidifier - 13 GAL</t>
  </si>
  <si>
    <t>Inflator pump</t>
  </si>
  <si>
    <t>Iron</t>
  </si>
  <si>
    <t>Lamp</t>
  </si>
  <si>
    <t>Mini fridge</t>
  </si>
  <si>
    <t>Night light</t>
  </si>
  <si>
    <t>Pool pump - 1 HP</t>
  </si>
  <si>
    <t>Pool pump - 2 1/2 HP</t>
  </si>
  <si>
    <t>Pool pump - 2 HP</t>
  </si>
  <si>
    <t>Portable fan</t>
  </si>
  <si>
    <t>Pressure cooker</t>
  </si>
  <si>
    <t>Printer</t>
  </si>
  <si>
    <t>Refrigerator - 30.6 cu. ft.</t>
  </si>
  <si>
    <t>Refrigerator - 22.3 cu. ft.</t>
  </si>
  <si>
    <t>Refrigerator - 13.9 cu. ft.</t>
  </si>
  <si>
    <t>Rice cooker</t>
  </si>
  <si>
    <t>Security system</t>
  </si>
  <si>
    <t>Slow cooker</t>
  </si>
  <si>
    <t>Steam iron</t>
  </si>
  <si>
    <t>Straightening iron</t>
  </si>
  <si>
    <t>Sump Pump - 1/2 HP</t>
  </si>
  <si>
    <t>Sump Pump - 1/3 HP</t>
  </si>
  <si>
    <t>Television - 22" LED</t>
  </si>
  <si>
    <t>Television - 42" plasma</t>
  </si>
  <si>
    <t>Television - 82" LED</t>
  </si>
  <si>
    <t>Toaster</t>
  </si>
  <si>
    <t>Toaster oven</t>
  </si>
  <si>
    <t>Treadmill</t>
  </si>
  <si>
    <t>VCR/DVD player</t>
  </si>
  <si>
    <t>Video game system</t>
  </si>
  <si>
    <t>Waffle iron</t>
  </si>
  <si>
    <t>Water dispenser</t>
  </si>
  <si>
    <t>Water heater - electric tank 75 GAL</t>
  </si>
  <si>
    <t>Water heater - electric tank 55 GAL</t>
  </si>
  <si>
    <t>Water heater - electric tank 40 GAL</t>
  </si>
  <si>
    <t>Water heater - electric tankless 36 kW</t>
  </si>
  <si>
    <t>Water heater - electric tankless 27 kW</t>
  </si>
  <si>
    <t>Water heater - electric tankless 18 kW</t>
  </si>
  <si>
    <t>Water heater - NG tank 75 GAL</t>
  </si>
  <si>
    <t>Water heater - NG tank 55 GAL</t>
  </si>
  <si>
    <t>Water heater - NG tank 40 GAL</t>
  </si>
  <si>
    <t>Water heater - NG tankless 11 GPM</t>
  </si>
  <si>
    <t>Water heater - NG tankless 10 GPM</t>
  </si>
  <si>
    <t>Water heater - NG tankless 7 GPM</t>
  </si>
  <si>
    <t>Well pump - 1 1/2 HP</t>
  </si>
  <si>
    <t>Well pump - 1/3 HP</t>
  </si>
  <si>
    <t>Well pump - 2 HP</t>
  </si>
  <si>
    <t>Window AC - 10,000 BTU</t>
  </si>
  <si>
    <t>Window AC - 12,000 BTU</t>
  </si>
  <si>
    <t>Appliances by Categories</t>
  </si>
  <si>
    <t>Appliance</t>
  </si>
  <si>
    <t>240V?</t>
  </si>
  <si>
    <t>Category</t>
  </si>
  <si>
    <t>Fuel Conversion (for 1 gallon)</t>
  </si>
  <si>
    <t>kWh</t>
  </si>
  <si>
    <t>Diesel</t>
  </si>
  <si>
    <t>Propane</t>
  </si>
  <si>
    <t>y</t>
  </si>
  <si>
    <t>Portable Generator Fuel Types</t>
  </si>
  <si>
    <t>Natural Gas</t>
  </si>
  <si>
    <t>L</t>
  </si>
  <si>
    <t>M</t>
  </si>
  <si>
    <t>S</t>
  </si>
  <si>
    <t>Portable generator</t>
  </si>
  <si>
    <t>Select appliances from drop-down lists:</t>
  </si>
  <si>
    <t>Select fuel type from drop-down list:</t>
  </si>
  <si>
    <t>Inputs</t>
  </si>
  <si>
    <t>Battery size in kWh:</t>
  </si>
  <si>
    <t>Interface kW rating:</t>
  </si>
  <si>
    <t>Appliance Categories</t>
  </si>
  <si>
    <t>Default Running Watts</t>
  </si>
  <si>
    <t>Default Starting Watts</t>
  </si>
  <si>
    <t>Winter</t>
  </si>
  <si>
    <t>Spring</t>
  </si>
  <si>
    <t>Summer</t>
  </si>
  <si>
    <t>Fall</t>
  </si>
  <si>
    <t>Extreme Winter</t>
  </si>
  <si>
    <t>Extreme Summer</t>
  </si>
  <si>
    <t>Standby Generator</t>
  </si>
  <si>
    <t>Standby Generator Fuel Types</t>
  </si>
  <si>
    <t>Enter quantity of fuel in liters:</t>
  </si>
  <si>
    <t>Energy storage that directly supplies the home; not connected to an electricity meter but usually not off-grid</t>
  </si>
  <si>
    <t>Definition</t>
  </si>
  <si>
    <t>Term</t>
  </si>
  <si>
    <t>Electricity generated from solar panels and must be stored (cannot be directly connected to home); BEV/PHEV can act as this storage</t>
  </si>
  <si>
    <t>Photovoltaic generation (PV) + BTM electricity storage</t>
  </si>
  <si>
    <t>Permanently installed, stationary generator; typically larger and serves whole house; typically fueled by gasoline/diesel/natural gas/propane/bi-fuel</t>
  </si>
  <si>
    <t>On-wheels; typically can only backup critical loads; typically fueled by gasoline/diesel/propane/bi-fuel</t>
  </si>
  <si>
    <t>Battery electric vehicle (BEV)</t>
  </si>
  <si>
    <t>Plug-in hybrid electric vehicle (PHEV)</t>
  </si>
  <si>
    <t>EV powered by battery energy</t>
  </si>
  <si>
    <t>EV powered by battery energy and a range extending gasoline engine</t>
  </si>
  <si>
    <t>Cell Fill Color</t>
  </si>
  <si>
    <t>Meaning</t>
  </si>
  <si>
    <t>Main titles</t>
  </si>
  <si>
    <t>Instructions for user inputs</t>
  </si>
  <si>
    <t>Comments/ explanations</t>
  </si>
  <si>
    <t>Calculated or default values</t>
  </si>
  <si>
    <t>User input (either entered or selected from drop-down list)</t>
  </si>
  <si>
    <t>Sub-titles and headings for calculated/ default values</t>
  </si>
  <si>
    <t>Total Running Watts [W]</t>
  </si>
  <si>
    <t>State-of-charge (SoC)</t>
  </si>
  <si>
    <t>Electric BBQ</t>
  </si>
  <si>
    <t>Sound System</t>
  </si>
  <si>
    <t>Margarita machine</t>
  </si>
  <si>
    <t>Beer refrigerator</t>
  </si>
  <si>
    <t>Minimum battery SoC in percent:</t>
  </si>
  <si>
    <t>Power Capacity minus Load [W]</t>
  </si>
  <si>
    <t>Power Output [W]</t>
  </si>
  <si>
    <t>Total Power Output [W]</t>
  </si>
  <si>
    <t>RUN SCENARIO</t>
  </si>
  <si>
    <t>Hours Running per Day</t>
  </si>
  <si>
    <t>Default Hours Running per Day</t>
  </si>
  <si>
    <t>Power Capacity Factor [%]</t>
  </si>
  <si>
    <t>SUM</t>
  </si>
  <si>
    <t>Target Wh</t>
  </si>
  <si>
    <t>Constraint</t>
  </si>
  <si>
    <t>Appliances Load Factor</t>
  </si>
  <si>
    <t>How many days would you like to run the simulation for?</t>
  </si>
  <si>
    <t>Enter the priority, with 1 being LEAST important:</t>
  </si>
  <si>
    <t>Maximum kWh generation from fuel supply:</t>
  </si>
  <si>
    <t>Storage capacity of BTM storage in kWh:</t>
  </si>
  <si>
    <t>BTM storage kW rating:</t>
  </si>
  <si>
    <t>Weather Conditions</t>
  </si>
  <si>
    <t>Home Load</t>
  </si>
  <si>
    <t>Option 1: user specifies appliances running in the home</t>
  </si>
  <si>
    <t>Maximum battery SoC in percent:</t>
  </si>
  <si>
    <t>Photovoltaic Generation &amp; Behind-the-Meter Storage</t>
  </si>
  <si>
    <t>Enter the priority of the backup sources dispatch order, with 1 being FIRST to be used:</t>
  </si>
  <si>
    <t>System Output [W]</t>
  </si>
  <si>
    <t>Behind-the-Meter Storage</t>
  </si>
  <si>
    <t>SoC [%]</t>
  </si>
  <si>
    <t>DC system size of PV in kW:</t>
  </si>
  <si>
    <t>Photovoltaic Generation</t>
  </si>
  <si>
    <t>Selected Profile Output [W]</t>
  </si>
  <si>
    <t>Weather Condition Selected</t>
  </si>
  <si>
    <t>Driving electric vehicle</t>
  </si>
  <si>
    <t>Initial battery SoC in percent:</t>
  </si>
  <si>
    <t>DC system size of PV in kW</t>
  </si>
  <si>
    <t>Time</t>
  </si>
  <si>
    <t>Custom 2</t>
  </si>
  <si>
    <t>Custom 1</t>
  </si>
  <si>
    <t>Battery charge/discharge efficiency in percent:</t>
  </si>
  <si>
    <t>Additional Starting Watts</t>
  </si>
  <si>
    <t>Solved Wh</t>
  </si>
  <si>
    <t>Rated power capacity in kW:</t>
  </si>
  <si>
    <t>Surge power capacity in kW:</t>
  </si>
  <si>
    <t>Total Surge Power Capacity [W]</t>
  </si>
  <si>
    <t>Total Power Capacity [W]</t>
  </si>
  <si>
    <t>FOR PLOTTING:</t>
  </si>
  <si>
    <t>Peak Power [W]</t>
  </si>
  <si>
    <t>Additional Starting Watts [W]</t>
  </si>
  <si>
    <t>Peak Power [kW]</t>
  </si>
  <si>
    <t>Home Electricity Consumed [kWh/day]</t>
  </si>
  <si>
    <t>Desired Electricity Demand [kWh/day]</t>
  </si>
  <si>
    <t>Percentage of Home Electricity Supplied vs Desired [%]</t>
  </si>
  <si>
    <t>Positive values:</t>
  </si>
  <si>
    <t>Negative values:</t>
  </si>
  <si>
    <t>Usage [kW]</t>
  </si>
  <si>
    <t>kWh/day</t>
  </si>
  <si>
    <t>Required Energy [kWh/day]</t>
  </si>
  <si>
    <t>Energy Available [kWh/day]</t>
  </si>
  <si>
    <t>Selected Profile Usage [W]</t>
  </si>
  <si>
    <t>Battery Electric Vehicle - Charging</t>
  </si>
  <si>
    <t>Battery Electric Vehicle - Discharging</t>
  </si>
  <si>
    <t>Plug-In Hybrid Electric Vehicle - Discharging</t>
  </si>
  <si>
    <t>Plug-In Hybrid Electric Vehicle - Charging</t>
  </si>
  <si>
    <t>Behind-the-Meter Storage - Discharging</t>
  </si>
  <si>
    <t>Behind-the-Meter Storage - Charging</t>
  </si>
  <si>
    <t>Plug-In Hybrid Electric Vehicle - Engine</t>
  </si>
  <si>
    <t>Plug-In Hybrid Electric Vehicle (Battery)</t>
  </si>
  <si>
    <t>Plug-In Hybrid Electric Vehicle (Engine)</t>
  </si>
  <si>
    <t>Optimization model solve time [s]</t>
  </si>
  <si>
    <t>Time Steps for Plots</t>
  </si>
  <si>
    <t>Option 2: user selects an actual load profile for a home</t>
  </si>
  <si>
    <t>Check this box to select an actual home load profile:</t>
  </si>
  <si>
    <t>Actual Home Load Profile Check</t>
  </si>
  <si>
    <t>Small</t>
  </si>
  <si>
    <t>Large</t>
  </si>
  <si>
    <t>Home Size Selected</t>
  </si>
  <si>
    <t>Weather Condition and Home Size</t>
  </si>
  <si>
    <t>Select weather condition and home size from drop-down list:</t>
  </si>
  <si>
    <t>Select home size from drop-down list:</t>
  </si>
  <si>
    <t>Temperature</t>
  </si>
  <si>
    <t>Selected Temperature Profile</t>
  </si>
  <si>
    <t>Backup duration [days]</t>
  </si>
  <si>
    <t>August 8 2016</t>
  </si>
  <si>
    <t xml:space="preserve"> - January 10 2016</t>
  </si>
  <si>
    <t xml:space="preserve"> - August 8 2016</t>
  </si>
  <si>
    <t>January 10 2016</t>
  </si>
  <si>
    <t>Central air conditioner (temperature dependent)</t>
  </si>
  <si>
    <t>Gas furnace (temperature dependent)</t>
  </si>
  <si>
    <t>Air source heat pump (temperature dependent)</t>
  </si>
  <si>
    <t>Varies with temperature</t>
  </si>
  <si>
    <t>Small - 93 sq m (1000 sq ft)</t>
  </si>
  <si>
    <t>Medium - 186 sq m (2000 sq ft)</t>
  </si>
  <si>
    <t>Large - 279 sq m (3000 sq ft)</t>
  </si>
  <si>
    <t>Enter 1 for the preferred time to be ON, and enter 10 for the preferred time to be OFF</t>
  </si>
  <si>
    <t>When would you like the simulation to start?</t>
  </si>
  <si>
    <t>Weather Condition</t>
  </si>
  <si>
    <t>S,M,L</t>
  </si>
  <si>
    <t>Additional starting watts for actual home load profile [W]</t>
  </si>
  <si>
    <t xml:space="preserve"> - July 29 2016</t>
  </si>
  <si>
    <t>July 29 2016</t>
  </si>
  <si>
    <t xml:space="preserve">The level of charge relative to the maximum available capacity of a battery, where 0% is a fully depleted battery and 100% is fully charged. </t>
  </si>
  <si>
    <t>Behind-the-meter (BTM) electricity storage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</si>
</sst>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0.0"/>
  </numFmts>
  <fonts count="6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1"/>
      <name val="Calibri"/>
      <family val="2"/>
    </font>
    <font>
      <b/>
      <sz val="11"/>
      <color theme="0"/>
      <name val="Calibri"/>
      <family val="2"/>
    </font>
    <font>
      <sz val="11"/>
      <color rgb="FFFFFFFF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</font>
    <font>
      <b/>
      <sz val="14"/>
      <color rgb="FFFFFFFF"/>
      <name val="Calibri"/>
      <family val="2"/>
    </font>
    <font>
      <b/>
      <sz val="14"/>
      <color theme="0"/>
      <name val="Calibri"/>
      <family val="2"/>
    </font>
    <font>
      <sz val="11"/>
      <color theme="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8"/>
      <color theme="3"/>
      <name val="Calibri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005F73"/>
        <bgColor rgb="FF005F73"/>
      </patternFill>
    </fill>
    <fill>
      <patternFill patternType="solid">
        <fgColor rgb="FF0A9396"/>
        <bgColor rgb="FF0A9396"/>
      </patternFill>
    </fill>
    <fill>
      <patternFill patternType="solid">
        <fgColor rgb="FFBB3E03"/>
        <bgColor rgb="FFBB3E03"/>
      </patternFill>
    </fill>
    <fill>
      <patternFill patternType="solid">
        <fgColor rgb="FFE9D8A6"/>
        <bgColor rgb="FFE9D8A6"/>
      </patternFill>
    </fill>
    <fill>
      <patternFill patternType="solid">
        <fgColor rgb="FFEE9B00"/>
        <bgColor rgb="FFEE9B00"/>
      </patternFill>
    </fill>
    <fill>
      <patternFill patternType="solid">
        <fgColor rgb="FFFFFFFF"/>
        <bgColor rgb="FFFFFFFF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4D2BD"/>
        <bgColor indexed="64"/>
      </patternFill>
    </fill>
    <fill>
      <patternFill patternType="solid">
        <fgColor rgb="FFBB3E03"/>
        <bgColor theme="0"/>
      </patternFill>
    </fill>
    <fill>
      <patternFill patternType="solid">
        <fgColor rgb="FFEE9B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9B00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8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indexed="64"/>
      </bottom>
      <diagonal/>
    </border>
  </borders>
  <cellStyleXfs count="86">
    <xf numFmtId="0" fontId="0" fillId="0" borderId="0"/>
    <xf numFmtId="0" fontId="35" fillId="0" borderId="23"/>
    <xf numFmtId="0" fontId="48" fillId="0" borderId="56" applyNumberFormat="0" applyFill="0" applyAlignment="0" applyProtection="0"/>
    <xf numFmtId="0" fontId="49" fillId="0" borderId="57" applyNumberFormat="0" applyFill="0" applyAlignment="0" applyProtection="0"/>
    <xf numFmtId="0" fontId="50" fillId="0" borderId="58" applyNumberFormat="0" applyFill="0" applyAlignment="0" applyProtection="0"/>
    <xf numFmtId="0" fontId="54" fillId="21" borderId="59" applyNumberFormat="0" applyAlignment="0" applyProtection="0"/>
    <xf numFmtId="0" fontId="55" fillId="22" borderId="60" applyNumberFormat="0" applyAlignment="0" applyProtection="0"/>
    <xf numFmtId="0" fontId="56" fillId="22" borderId="59" applyNumberFormat="0" applyAlignment="0" applyProtection="0"/>
    <xf numFmtId="0" fontId="57" fillId="0" borderId="61" applyNumberFormat="0" applyFill="0" applyAlignment="0" applyProtection="0"/>
    <xf numFmtId="0" fontId="58" fillId="23" borderId="62" applyNumberFormat="0" applyAlignment="0" applyProtection="0"/>
    <xf numFmtId="0" fontId="61" fillId="0" borderId="64" applyNumberFormat="0" applyFill="0" applyAlignment="0" applyProtection="0"/>
    <xf numFmtId="0" fontId="23" fillId="0" borderId="23"/>
    <xf numFmtId="0" fontId="47" fillId="0" borderId="23" applyNumberFormat="0" applyFill="0" applyBorder="0" applyAlignment="0" applyProtection="0"/>
    <xf numFmtId="0" fontId="50" fillId="0" borderId="23" applyNumberFormat="0" applyFill="0" applyBorder="0" applyAlignment="0" applyProtection="0"/>
    <xf numFmtId="0" fontId="51" fillId="18" borderId="23" applyNumberFormat="0" applyBorder="0" applyAlignment="0" applyProtection="0"/>
    <xf numFmtId="0" fontId="52" fillId="19" borderId="23" applyNumberFormat="0" applyBorder="0" applyAlignment="0" applyProtection="0"/>
    <xf numFmtId="0" fontId="53" fillId="20" borderId="23" applyNumberFormat="0" applyBorder="0" applyAlignment="0" applyProtection="0"/>
    <xf numFmtId="0" fontId="59" fillId="0" borderId="23" applyNumberFormat="0" applyFill="0" applyBorder="0" applyAlignment="0" applyProtection="0"/>
    <xf numFmtId="0" fontId="23" fillId="24" borderId="63" applyNumberFormat="0" applyFont="0" applyAlignment="0" applyProtection="0"/>
    <xf numFmtId="0" fontId="60" fillId="0" borderId="23" applyNumberFormat="0" applyFill="0" applyBorder="0" applyAlignment="0" applyProtection="0"/>
    <xf numFmtId="0" fontId="45" fillId="25" borderId="23" applyNumberFormat="0" applyBorder="0" applyAlignment="0" applyProtection="0"/>
    <xf numFmtId="0" fontId="23" fillId="26" borderId="23" applyNumberFormat="0" applyBorder="0" applyAlignment="0" applyProtection="0"/>
    <xf numFmtId="0" fontId="23" fillId="27" borderId="23" applyNumberFormat="0" applyBorder="0" applyAlignment="0" applyProtection="0"/>
    <xf numFmtId="0" fontId="23" fillId="28" borderId="23" applyNumberFormat="0" applyBorder="0" applyAlignment="0" applyProtection="0"/>
    <xf numFmtId="0" fontId="45" fillId="29" borderId="23" applyNumberFormat="0" applyBorder="0" applyAlignment="0" applyProtection="0"/>
    <xf numFmtId="0" fontId="23" fillId="30" borderId="23" applyNumberFormat="0" applyBorder="0" applyAlignment="0" applyProtection="0"/>
    <xf numFmtId="0" fontId="23" fillId="31" borderId="23" applyNumberFormat="0" applyBorder="0" applyAlignment="0" applyProtection="0"/>
    <xf numFmtId="0" fontId="23" fillId="32" borderId="23" applyNumberFormat="0" applyBorder="0" applyAlignment="0" applyProtection="0"/>
    <xf numFmtId="0" fontId="45" fillId="33" borderId="23" applyNumberFormat="0" applyBorder="0" applyAlignment="0" applyProtection="0"/>
    <xf numFmtId="0" fontId="23" fillId="34" borderId="23" applyNumberFormat="0" applyBorder="0" applyAlignment="0" applyProtection="0"/>
    <xf numFmtId="0" fontId="23" fillId="35" borderId="23" applyNumberFormat="0" applyBorder="0" applyAlignment="0" applyProtection="0"/>
    <xf numFmtId="0" fontId="23" fillId="36" borderId="23" applyNumberFormat="0" applyBorder="0" applyAlignment="0" applyProtection="0"/>
    <xf numFmtId="0" fontId="45" fillId="37" borderId="23" applyNumberFormat="0" applyBorder="0" applyAlignment="0" applyProtection="0"/>
    <xf numFmtId="0" fontId="23" fillId="38" borderId="23" applyNumberFormat="0" applyBorder="0" applyAlignment="0" applyProtection="0"/>
    <xf numFmtId="0" fontId="23" fillId="39" borderId="23" applyNumberFormat="0" applyBorder="0" applyAlignment="0" applyProtection="0"/>
    <xf numFmtId="0" fontId="23" fillId="40" borderId="23" applyNumberFormat="0" applyBorder="0" applyAlignment="0" applyProtection="0"/>
    <xf numFmtId="0" fontId="45" fillId="41" borderId="23" applyNumberFormat="0" applyBorder="0" applyAlignment="0" applyProtection="0"/>
    <xf numFmtId="0" fontId="23" fillId="42" borderId="23" applyNumberFormat="0" applyBorder="0" applyAlignment="0" applyProtection="0"/>
    <xf numFmtId="0" fontId="23" fillId="43" borderId="23" applyNumberFormat="0" applyBorder="0" applyAlignment="0" applyProtection="0"/>
    <xf numFmtId="0" fontId="23" fillId="44" borderId="23" applyNumberFormat="0" applyBorder="0" applyAlignment="0" applyProtection="0"/>
    <xf numFmtId="0" fontId="45" fillId="45" borderId="23" applyNumberFormat="0" applyBorder="0" applyAlignment="0" applyProtection="0"/>
    <xf numFmtId="0" fontId="23" fillId="46" borderId="23" applyNumberFormat="0" applyBorder="0" applyAlignment="0" applyProtection="0"/>
    <xf numFmtId="0" fontId="23" fillId="47" borderId="23" applyNumberFormat="0" applyBorder="0" applyAlignment="0" applyProtection="0"/>
    <xf numFmtId="0" fontId="23" fillId="48" borderId="23" applyNumberFormat="0" applyBorder="0" applyAlignment="0" applyProtection="0"/>
    <xf numFmtId="0" fontId="8" fillId="0" borderId="23"/>
    <xf numFmtId="0" fontId="8" fillId="24" borderId="63" applyNumberFormat="0" applyFont="0" applyAlignment="0" applyProtection="0"/>
    <xf numFmtId="0" fontId="8" fillId="26" borderId="23" applyNumberFormat="0" applyBorder="0" applyAlignment="0" applyProtection="0"/>
    <xf numFmtId="0" fontId="8" fillId="27" borderId="23" applyNumberFormat="0" applyBorder="0" applyAlignment="0" applyProtection="0"/>
    <xf numFmtId="0" fontId="8" fillId="28" borderId="23" applyNumberFormat="0" applyBorder="0" applyAlignment="0" applyProtection="0"/>
    <xf numFmtId="0" fontId="8" fillId="30" borderId="23" applyNumberFormat="0" applyBorder="0" applyAlignment="0" applyProtection="0"/>
    <xf numFmtId="0" fontId="8" fillId="31" borderId="23" applyNumberFormat="0" applyBorder="0" applyAlignment="0" applyProtection="0"/>
    <xf numFmtId="0" fontId="8" fillId="32" borderId="23" applyNumberFormat="0" applyBorder="0" applyAlignment="0" applyProtection="0"/>
    <xf numFmtId="0" fontId="8" fillId="34" borderId="23" applyNumberFormat="0" applyBorder="0" applyAlignment="0" applyProtection="0"/>
    <xf numFmtId="0" fontId="8" fillId="35" borderId="23" applyNumberFormat="0" applyBorder="0" applyAlignment="0" applyProtection="0"/>
    <xf numFmtId="0" fontId="8" fillId="36" borderId="23" applyNumberFormat="0" applyBorder="0" applyAlignment="0" applyProtection="0"/>
    <xf numFmtId="0" fontId="8" fillId="38" borderId="23" applyNumberFormat="0" applyBorder="0" applyAlignment="0" applyProtection="0"/>
    <xf numFmtId="0" fontId="8" fillId="39" borderId="23" applyNumberFormat="0" applyBorder="0" applyAlignment="0" applyProtection="0"/>
    <xf numFmtId="0" fontId="8" fillId="40" borderId="23" applyNumberFormat="0" applyBorder="0" applyAlignment="0" applyProtection="0"/>
    <xf numFmtId="0" fontId="8" fillId="42" borderId="23" applyNumberFormat="0" applyBorder="0" applyAlignment="0" applyProtection="0"/>
    <xf numFmtId="0" fontId="8" fillId="43" borderId="23" applyNumberFormat="0" applyBorder="0" applyAlignment="0" applyProtection="0"/>
    <xf numFmtId="0" fontId="8" fillId="44" borderId="23" applyNumberFormat="0" applyBorder="0" applyAlignment="0" applyProtection="0"/>
    <xf numFmtId="0" fontId="8" fillId="46" borderId="23" applyNumberFormat="0" applyBorder="0" applyAlignment="0" applyProtection="0"/>
    <xf numFmtId="0" fontId="8" fillId="47" borderId="23" applyNumberFormat="0" applyBorder="0" applyAlignment="0" applyProtection="0"/>
    <xf numFmtId="0" fontId="8" fillId="48" borderId="23" applyNumberFormat="0" applyBorder="0" applyAlignment="0" applyProtection="0"/>
    <xf numFmtId="0" fontId="63" fillId="0" borderId="23"/>
    <xf numFmtId="0" fontId="8" fillId="0" borderId="23"/>
    <xf numFmtId="0" fontId="8" fillId="24" borderId="63" applyNumberFormat="0" applyFont="0" applyAlignment="0" applyProtection="0"/>
    <xf numFmtId="0" fontId="8" fillId="26" borderId="23" applyNumberFormat="0" applyBorder="0" applyAlignment="0" applyProtection="0"/>
    <xf numFmtId="0" fontId="8" fillId="27" borderId="23" applyNumberFormat="0" applyBorder="0" applyAlignment="0" applyProtection="0"/>
    <xf numFmtId="0" fontId="8" fillId="28" borderId="23" applyNumberFormat="0" applyBorder="0" applyAlignment="0" applyProtection="0"/>
    <xf numFmtId="0" fontId="8" fillId="30" borderId="23" applyNumberFormat="0" applyBorder="0" applyAlignment="0" applyProtection="0"/>
    <xf numFmtId="0" fontId="8" fillId="31" borderId="23" applyNumberFormat="0" applyBorder="0" applyAlignment="0" applyProtection="0"/>
    <xf numFmtId="0" fontId="8" fillId="32" borderId="23" applyNumberFormat="0" applyBorder="0" applyAlignment="0" applyProtection="0"/>
    <xf numFmtId="0" fontId="8" fillId="34" borderId="23" applyNumberFormat="0" applyBorder="0" applyAlignment="0" applyProtection="0"/>
    <xf numFmtId="0" fontId="8" fillId="35" borderId="23" applyNumberFormat="0" applyBorder="0" applyAlignment="0" applyProtection="0"/>
    <xf numFmtId="0" fontId="8" fillId="36" borderId="23" applyNumberFormat="0" applyBorder="0" applyAlignment="0" applyProtection="0"/>
    <xf numFmtId="0" fontId="8" fillId="38" borderId="23" applyNumberFormat="0" applyBorder="0" applyAlignment="0" applyProtection="0"/>
    <xf numFmtId="0" fontId="8" fillId="39" borderId="23" applyNumberFormat="0" applyBorder="0" applyAlignment="0" applyProtection="0"/>
    <xf numFmtId="0" fontId="8" fillId="40" borderId="23" applyNumberFormat="0" applyBorder="0" applyAlignment="0" applyProtection="0"/>
    <xf numFmtId="0" fontId="8" fillId="42" borderId="23" applyNumberFormat="0" applyBorder="0" applyAlignment="0" applyProtection="0"/>
    <xf numFmtId="0" fontId="8" fillId="43" borderId="23" applyNumberFormat="0" applyBorder="0" applyAlignment="0" applyProtection="0"/>
    <xf numFmtId="0" fontId="8" fillId="44" borderId="23" applyNumberFormat="0" applyBorder="0" applyAlignment="0" applyProtection="0"/>
    <xf numFmtId="0" fontId="8" fillId="46" borderId="23" applyNumberFormat="0" applyBorder="0" applyAlignment="0" applyProtection="0"/>
    <xf numFmtId="0" fontId="8" fillId="47" borderId="23" applyNumberFormat="0" applyBorder="0" applyAlignment="0" applyProtection="0"/>
    <xf numFmtId="0" fontId="8" fillId="48" borderId="23" applyNumberFormat="0" applyBorder="0" applyAlignment="0" applyProtection="0"/>
    <xf numFmtId="0" fontId="8" fillId="0" borderId="23"/>
  </cellStyleXfs>
  <cellXfs count="335">
    <xf numFmtId="0" fontId="0" fillId="0" borderId="0" xfId="0"/>
    <xf numFmtId="1" fontId="41" fillId="0" borderId="0" xfId="0" applyNumberFormat="1" applyFont="1"/>
    <xf numFmtId="0" fontId="38" fillId="0" borderId="0" xfId="0" applyFont="1" applyAlignment="1">
      <alignment horizontal="left"/>
    </xf>
    <xf numFmtId="20" fontId="35" fillId="0" borderId="0" xfId="0" applyNumberFormat="1" applyFont="1"/>
    <xf numFmtId="0" fontId="41" fillId="0" borderId="0" xfId="0" applyFont="1"/>
    <xf numFmtId="0" fontId="0" fillId="0" borderId="0" xfId="0" applyAlignment="1">
      <alignment wrapText="1"/>
    </xf>
    <xf numFmtId="0" fontId="40" fillId="4" borderId="13" xfId="0" applyFont="1" applyFill="1" applyBorder="1" applyAlignment="1">
      <alignment vertical="center" wrapText="1"/>
    </xf>
    <xf numFmtId="0" fontId="39" fillId="4" borderId="13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wrapText="1"/>
    </xf>
    <xf numFmtId="0" fontId="40" fillId="5" borderId="13" xfId="0" applyFont="1" applyFill="1" applyBorder="1" applyAlignment="1">
      <alignment wrapText="1"/>
    </xf>
    <xf numFmtId="0" fontId="39" fillId="5" borderId="13" xfId="0" applyFont="1" applyFill="1" applyBorder="1" applyAlignment="1">
      <alignment wrapText="1"/>
    </xf>
    <xf numFmtId="0" fontId="36" fillId="3" borderId="13" xfId="0" applyFont="1" applyFill="1" applyBorder="1" applyAlignment="1">
      <alignment wrapText="1"/>
    </xf>
    <xf numFmtId="0" fontId="40" fillId="0" borderId="0" xfId="0" applyFont="1" applyAlignment="1">
      <alignment wrapText="1"/>
    </xf>
    <xf numFmtId="0" fontId="41" fillId="0" borderId="28" xfId="0" applyFont="1" applyBorder="1"/>
    <xf numFmtId="0" fontId="41" fillId="0" borderId="29" xfId="0" applyFont="1" applyBorder="1"/>
    <xf numFmtId="0" fontId="35" fillId="0" borderId="33" xfId="0" applyFont="1" applyBorder="1"/>
    <xf numFmtId="0" fontId="35" fillId="0" borderId="23" xfId="0" applyFont="1" applyBorder="1"/>
    <xf numFmtId="0" fontId="35" fillId="0" borderId="34" xfId="0" applyFont="1" applyBorder="1"/>
    <xf numFmtId="0" fontId="41" fillId="0" borderId="33" xfId="0" applyFont="1" applyBorder="1"/>
    <xf numFmtId="0" fontId="41" fillId="0" borderId="23" xfId="0" applyFont="1" applyBorder="1"/>
    <xf numFmtId="0" fontId="35" fillId="0" borderId="23" xfId="0" applyFont="1" applyBorder="1" applyAlignment="1">
      <alignment horizontal="right"/>
    </xf>
    <xf numFmtId="0" fontId="0" fillId="0" borderId="34" xfId="0" applyBorder="1"/>
    <xf numFmtId="0" fontId="0" fillId="0" borderId="23" xfId="0" applyBorder="1"/>
    <xf numFmtId="1" fontId="35" fillId="0" borderId="23" xfId="0" applyNumberFormat="1" applyFont="1" applyBorder="1"/>
    <xf numFmtId="0" fontId="41" fillId="0" borderId="34" xfId="0" applyFont="1" applyBorder="1"/>
    <xf numFmtId="0" fontId="41" fillId="0" borderId="35" xfId="0" applyFont="1" applyBorder="1"/>
    <xf numFmtId="0" fontId="41" fillId="0" borderId="36" xfId="0" applyFont="1" applyBorder="1"/>
    <xf numFmtId="0" fontId="35" fillId="0" borderId="36" xfId="0" applyFont="1" applyBorder="1" applyAlignment="1">
      <alignment horizontal="right"/>
    </xf>
    <xf numFmtId="0" fontId="0" fillId="0" borderId="37" xfId="0" applyBorder="1"/>
    <xf numFmtId="0" fontId="41" fillId="0" borderId="32" xfId="0" applyFont="1" applyBorder="1"/>
    <xf numFmtId="2" fontId="41" fillId="0" borderId="34" xfId="0" applyNumberFormat="1" applyFont="1" applyBorder="1"/>
    <xf numFmtId="2" fontId="41" fillId="0" borderId="37" xfId="0" applyNumberFormat="1" applyFont="1" applyBorder="1"/>
    <xf numFmtId="0" fontId="41" fillId="9" borderId="27" xfId="0" applyFont="1" applyFill="1" applyBorder="1"/>
    <xf numFmtId="0" fontId="41" fillId="9" borderId="30" xfId="0" applyFont="1" applyFill="1" applyBorder="1"/>
    <xf numFmtId="0" fontId="0" fillId="9" borderId="31" xfId="0" applyFill="1" applyBorder="1"/>
    <xf numFmtId="0" fontId="0" fillId="9" borderId="32" xfId="0" applyFill="1" applyBorder="1"/>
    <xf numFmtId="0" fontId="34" fillId="0" borderId="33" xfId="0" applyFont="1" applyBorder="1"/>
    <xf numFmtId="0" fontId="34" fillId="0" borderId="23" xfId="0" applyFont="1" applyBorder="1"/>
    <xf numFmtId="0" fontId="37" fillId="0" borderId="23" xfId="0" applyFont="1" applyBorder="1"/>
    <xf numFmtId="1" fontId="0" fillId="0" borderId="0" xfId="0" applyNumberFormat="1"/>
    <xf numFmtId="0" fontId="33" fillId="9" borderId="27" xfId="0" applyFont="1" applyFill="1" applyBorder="1"/>
    <xf numFmtId="0" fontId="41" fillId="9" borderId="31" xfId="0" applyFont="1" applyFill="1" applyBorder="1"/>
    <xf numFmtId="0" fontId="33" fillId="0" borderId="28" xfId="0" applyFont="1" applyBorder="1"/>
    <xf numFmtId="0" fontId="33" fillId="0" borderId="29" xfId="0" applyFont="1" applyBorder="1"/>
    <xf numFmtId="0" fontId="32" fillId="9" borderId="27" xfId="0" applyFont="1" applyFill="1" applyBorder="1"/>
    <xf numFmtId="0" fontId="31" fillId="0" borderId="0" xfId="0" applyFont="1"/>
    <xf numFmtId="0" fontId="31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43" fillId="3" borderId="45" xfId="0" applyFont="1" applyFill="1" applyBorder="1" applyAlignment="1">
      <alignment vertical="center" wrapText="1"/>
    </xf>
    <xf numFmtId="0" fontId="40" fillId="4" borderId="45" xfId="0" applyFont="1" applyFill="1" applyBorder="1" applyAlignment="1">
      <alignment vertical="center" wrapText="1"/>
    </xf>
    <xf numFmtId="0" fontId="0" fillId="11" borderId="45" xfId="0" applyFill="1" applyBorder="1"/>
    <xf numFmtId="1" fontId="35" fillId="6" borderId="45" xfId="0" applyNumberFormat="1" applyFont="1" applyFill="1" applyBorder="1" applyAlignment="1">
      <alignment wrapText="1"/>
    </xf>
    <xf numFmtId="0" fontId="35" fillId="7" borderId="45" xfId="0" applyFont="1" applyFill="1" applyBorder="1" applyAlignment="1">
      <alignment wrapText="1"/>
    </xf>
    <xf numFmtId="0" fontId="40" fillId="5" borderId="45" xfId="0" applyFont="1" applyFill="1" applyBorder="1" applyAlignment="1">
      <alignment wrapText="1"/>
    </xf>
    <xf numFmtId="0" fontId="41" fillId="9" borderId="45" xfId="0" applyFont="1" applyFill="1" applyBorder="1"/>
    <xf numFmtId="0" fontId="30" fillId="0" borderId="0" xfId="0" applyFont="1" applyAlignment="1">
      <alignment horizontal="left" vertical="center" wrapText="1"/>
    </xf>
    <xf numFmtId="0" fontId="30" fillId="0" borderId="33" xfId="0" applyFont="1" applyBorder="1"/>
    <xf numFmtId="0" fontId="0" fillId="0" borderId="0" xfId="0" applyAlignment="1">
      <alignment vertical="center" wrapText="1"/>
    </xf>
    <xf numFmtId="0" fontId="35" fillId="2" borderId="1" xfId="0" applyFont="1" applyFill="1" applyBorder="1" applyAlignment="1">
      <alignment vertical="center" wrapText="1"/>
    </xf>
    <xf numFmtId="0" fontId="35" fillId="2" borderId="2" xfId="0" applyFont="1" applyFill="1" applyBorder="1" applyAlignment="1">
      <alignment vertical="center" wrapText="1"/>
    </xf>
    <xf numFmtId="0" fontId="35" fillId="2" borderId="25" xfId="0" applyFont="1" applyFill="1" applyBorder="1" applyAlignment="1">
      <alignment vertical="center" wrapText="1"/>
    </xf>
    <xf numFmtId="0" fontId="35" fillId="2" borderId="3" xfId="0" applyFont="1" applyFill="1" applyBorder="1" applyAlignment="1">
      <alignment vertical="center" wrapText="1"/>
    </xf>
    <xf numFmtId="0" fontId="35" fillId="2" borderId="30" xfId="0" applyFont="1" applyFill="1" applyBorder="1" applyAlignment="1">
      <alignment vertical="center" wrapText="1"/>
    </xf>
    <xf numFmtId="0" fontId="35" fillId="2" borderId="31" xfId="0" applyFont="1" applyFill="1" applyBorder="1" applyAlignment="1">
      <alignment vertical="center" wrapText="1"/>
    </xf>
    <xf numFmtId="0" fontId="0" fillId="10" borderId="32" xfId="0" applyFill="1" applyBorder="1" applyAlignment="1">
      <alignment vertical="center" wrapText="1"/>
    </xf>
    <xf numFmtId="0" fontId="35" fillId="2" borderId="4" xfId="0" applyFont="1" applyFill="1" applyBorder="1" applyAlignment="1">
      <alignment vertical="center" wrapText="1"/>
    </xf>
    <xf numFmtId="0" fontId="35" fillId="2" borderId="6" xfId="0" applyFont="1" applyFill="1" applyBorder="1" applyAlignment="1">
      <alignment vertical="center" wrapText="1"/>
    </xf>
    <xf numFmtId="0" fontId="35" fillId="2" borderId="33" xfId="0" applyFont="1" applyFill="1" applyBorder="1" applyAlignment="1">
      <alignment vertical="center" wrapText="1"/>
    </xf>
    <xf numFmtId="0" fontId="0" fillId="10" borderId="34" xfId="0" applyFill="1" applyBorder="1" applyAlignment="1">
      <alignment vertical="center" wrapText="1"/>
    </xf>
    <xf numFmtId="0" fontId="35" fillId="2" borderId="22" xfId="0" applyFont="1" applyFill="1" applyBorder="1" applyAlignment="1">
      <alignment vertical="center" wrapText="1"/>
    </xf>
    <xf numFmtId="0" fontId="0" fillId="10" borderId="0" xfId="0" applyFill="1" applyAlignment="1">
      <alignment vertical="center" wrapText="1"/>
    </xf>
    <xf numFmtId="0" fontId="35" fillId="2" borderId="19" xfId="0" applyFont="1" applyFill="1" applyBorder="1" applyAlignment="1">
      <alignment vertical="center" wrapText="1"/>
    </xf>
    <xf numFmtId="0" fontId="0" fillId="10" borderId="23" xfId="0" applyFill="1" applyBorder="1" applyAlignment="1">
      <alignment vertical="center" wrapText="1"/>
    </xf>
    <xf numFmtId="0" fontId="40" fillId="4" borderId="41" xfId="0" applyFont="1" applyFill="1" applyBorder="1" applyAlignment="1">
      <alignment vertical="center" wrapText="1"/>
    </xf>
    <xf numFmtId="0" fontId="35" fillId="2" borderId="23" xfId="0" applyFont="1" applyFill="1" applyBorder="1" applyAlignment="1">
      <alignment vertical="center" wrapText="1"/>
    </xf>
    <xf numFmtId="0" fontId="35" fillId="7" borderId="18" xfId="0" applyFont="1" applyFill="1" applyBorder="1" applyAlignment="1">
      <alignment vertical="center" wrapText="1"/>
    </xf>
    <xf numFmtId="0" fontId="35" fillId="2" borderId="10" xfId="0" applyFont="1" applyFill="1" applyBorder="1" applyAlignment="1">
      <alignment vertical="center" wrapText="1"/>
    </xf>
    <xf numFmtId="0" fontId="35" fillId="2" borderId="5" xfId="0" applyFont="1" applyFill="1" applyBorder="1" applyAlignment="1">
      <alignment vertical="center" wrapText="1"/>
    </xf>
    <xf numFmtId="0" fontId="35" fillId="7" borderId="13" xfId="0" applyFont="1" applyFill="1" applyBorder="1" applyAlignment="1">
      <alignment vertical="center" wrapText="1"/>
    </xf>
    <xf numFmtId="0" fontId="40" fillId="5" borderId="12" xfId="0" applyFont="1" applyFill="1" applyBorder="1" applyAlignment="1">
      <alignment vertical="center" wrapText="1"/>
    </xf>
    <xf numFmtId="0" fontId="35" fillId="2" borderId="11" xfId="0" applyFont="1" applyFill="1" applyBorder="1" applyAlignment="1">
      <alignment vertical="center" wrapText="1"/>
    </xf>
    <xf numFmtId="0" fontId="40" fillId="4" borderId="12" xfId="0" applyFont="1" applyFill="1" applyBorder="1" applyAlignment="1">
      <alignment vertical="center" wrapText="1"/>
    </xf>
    <xf numFmtId="0" fontId="40" fillId="5" borderId="38" xfId="0" applyFont="1" applyFill="1" applyBorder="1" applyAlignment="1">
      <alignment vertical="center" wrapText="1"/>
    </xf>
    <xf numFmtId="0" fontId="40" fillId="5" borderId="40" xfId="0" applyFont="1" applyFill="1" applyBorder="1" applyAlignment="1">
      <alignment vertical="center" wrapText="1"/>
    </xf>
    <xf numFmtId="0" fontId="40" fillId="5" borderId="39" xfId="0" applyFont="1" applyFill="1" applyBorder="1" applyAlignment="1">
      <alignment vertical="center" wrapText="1"/>
    </xf>
    <xf numFmtId="1" fontId="35" fillId="6" borderId="18" xfId="0" applyNumberFormat="1" applyFont="1" applyFill="1" applyBorder="1" applyAlignment="1">
      <alignment vertical="center" wrapText="1"/>
    </xf>
    <xf numFmtId="0" fontId="35" fillId="8" borderId="15" xfId="0" applyFont="1" applyFill="1" applyBorder="1" applyAlignment="1">
      <alignment vertical="center" wrapText="1"/>
    </xf>
    <xf numFmtId="0" fontId="35" fillId="8" borderId="16" xfId="0" applyFont="1" applyFill="1" applyBorder="1" applyAlignment="1">
      <alignment vertical="center" wrapText="1"/>
    </xf>
    <xf numFmtId="0" fontId="35" fillId="8" borderId="24" xfId="0" applyFont="1" applyFill="1" applyBorder="1" applyAlignment="1">
      <alignment vertical="center" wrapText="1"/>
    </xf>
    <xf numFmtId="0" fontId="35" fillId="8" borderId="17" xfId="0" applyFont="1" applyFill="1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35" fillId="0" borderId="23" xfId="0" applyFont="1" applyBorder="1" applyAlignment="1">
      <alignment vertical="center" wrapText="1"/>
    </xf>
    <xf numFmtId="0" fontId="29" fillId="10" borderId="36" xfId="0" applyFont="1" applyFill="1" applyBorder="1" applyAlignment="1">
      <alignment vertical="center" wrapText="1"/>
    </xf>
    <xf numFmtId="0" fontId="35" fillId="7" borderId="18" xfId="1" applyFill="1" applyBorder="1" applyAlignment="1">
      <alignment horizontal="center" vertical="center"/>
    </xf>
    <xf numFmtId="0" fontId="0" fillId="14" borderId="0" xfId="0" applyFill="1" applyAlignment="1">
      <alignment vertical="center" wrapText="1"/>
    </xf>
    <xf numFmtId="0" fontId="35" fillId="15" borderId="32" xfId="0" applyFont="1" applyFill="1" applyBorder="1" applyAlignment="1">
      <alignment vertical="center" wrapText="1"/>
    </xf>
    <xf numFmtId="0" fontId="35" fillId="15" borderId="34" xfId="0" applyFont="1" applyFill="1" applyBorder="1" applyAlignment="1">
      <alignment vertical="center" wrapText="1"/>
    </xf>
    <xf numFmtId="0" fontId="35" fillId="15" borderId="35" xfId="0" applyFont="1" applyFill="1" applyBorder="1" applyAlignment="1">
      <alignment vertical="center" wrapText="1"/>
    </xf>
    <xf numFmtId="0" fontId="35" fillId="15" borderId="37" xfId="0" applyFont="1" applyFill="1" applyBorder="1" applyAlignment="1">
      <alignment vertical="center" wrapText="1"/>
    </xf>
    <xf numFmtId="0" fontId="0" fillId="13" borderId="30" xfId="0" applyFill="1" applyBorder="1" applyAlignment="1">
      <alignment vertical="center" wrapText="1"/>
    </xf>
    <xf numFmtId="0" fontId="0" fillId="13" borderId="33" xfId="0" applyFill="1" applyBorder="1" applyAlignment="1">
      <alignment vertical="center" wrapText="1"/>
    </xf>
    <xf numFmtId="0" fontId="30" fillId="0" borderId="23" xfId="0" applyFont="1" applyBorder="1"/>
    <xf numFmtId="0" fontId="35" fillId="13" borderId="23" xfId="0" applyFont="1" applyFill="1" applyBorder="1"/>
    <xf numFmtId="0" fontId="40" fillId="5" borderId="46" xfId="0" applyFont="1" applyFill="1" applyBorder="1" applyAlignment="1">
      <alignment vertical="center" wrapText="1"/>
    </xf>
    <xf numFmtId="0" fontId="28" fillId="0" borderId="0" xfId="0" applyFont="1"/>
    <xf numFmtId="1" fontId="28" fillId="16" borderId="0" xfId="0" applyNumberFormat="1" applyFont="1" applyFill="1"/>
    <xf numFmtId="1" fontId="46" fillId="17" borderId="0" xfId="0" applyNumberFormat="1" applyFont="1" applyFill="1"/>
    <xf numFmtId="1" fontId="0" fillId="16" borderId="0" xfId="0" applyNumberFormat="1" applyFill="1"/>
    <xf numFmtId="0" fontId="27" fillId="0" borderId="0" xfId="0" applyFont="1"/>
    <xf numFmtId="1" fontId="0" fillId="0" borderId="0" xfId="0" applyNumberFormat="1" applyAlignment="1">
      <alignment wrapText="1"/>
    </xf>
    <xf numFmtId="0" fontId="40" fillId="4" borderId="18" xfId="0" applyFont="1" applyFill="1" applyBorder="1" applyAlignment="1">
      <alignment vertical="center" wrapText="1"/>
    </xf>
    <xf numFmtId="2" fontId="35" fillId="6" borderId="9" xfId="0" applyNumberFormat="1" applyFont="1" applyFill="1" applyBorder="1" applyAlignment="1">
      <alignment vertical="center" wrapText="1"/>
    </xf>
    <xf numFmtId="0" fontId="26" fillId="9" borderId="27" xfId="0" applyFont="1" applyFill="1" applyBorder="1"/>
    <xf numFmtId="0" fontId="39" fillId="4" borderId="18" xfId="0" applyFont="1" applyFill="1" applyBorder="1" applyAlignment="1">
      <alignment vertical="center" wrapText="1"/>
    </xf>
    <xf numFmtId="0" fontId="40" fillId="4" borderId="50" xfId="0" applyFont="1" applyFill="1" applyBorder="1" applyAlignment="1">
      <alignment vertical="center" wrapText="1"/>
    </xf>
    <xf numFmtId="0" fontId="35" fillId="7" borderId="50" xfId="0" applyFont="1" applyFill="1" applyBorder="1" applyAlignment="1">
      <alignment vertical="center" wrapText="1"/>
    </xf>
    <xf numFmtId="0" fontId="35" fillId="7" borderId="53" xfId="0" applyFont="1" applyFill="1" applyBorder="1" applyAlignment="1">
      <alignment vertical="center" wrapText="1"/>
    </xf>
    <xf numFmtId="0" fontId="39" fillId="4" borderId="50" xfId="0" applyFont="1" applyFill="1" applyBorder="1" applyAlignment="1">
      <alignment vertical="center" wrapText="1"/>
    </xf>
    <xf numFmtId="0" fontId="40" fillId="4" borderId="55" xfId="0" applyFont="1" applyFill="1" applyBorder="1" applyAlignment="1">
      <alignment vertical="center" wrapText="1"/>
    </xf>
    <xf numFmtId="9" fontId="35" fillId="7" borderId="50" xfId="0" applyNumberFormat="1" applyFont="1" applyFill="1" applyBorder="1" applyAlignment="1">
      <alignment vertical="center" wrapText="1"/>
    </xf>
    <xf numFmtId="2" fontId="35" fillId="6" borderId="50" xfId="0" applyNumberFormat="1" applyFont="1" applyFill="1" applyBorder="1" applyAlignment="1">
      <alignment vertical="center" wrapText="1"/>
    </xf>
    <xf numFmtId="0" fontId="35" fillId="7" borderId="21" xfId="0" applyFont="1" applyFill="1" applyBorder="1" applyAlignment="1">
      <alignment vertical="center" wrapText="1"/>
    </xf>
    <xf numFmtId="0" fontId="25" fillId="0" borderId="0" xfId="0" applyFont="1"/>
    <xf numFmtId="20" fontId="0" fillId="0" borderId="23" xfId="0" applyNumberFormat="1" applyBorder="1"/>
    <xf numFmtId="20" fontId="0" fillId="0" borderId="36" xfId="0" applyNumberFormat="1" applyBorder="1"/>
    <xf numFmtId="20" fontId="0" fillId="0" borderId="33" xfId="0" applyNumberFormat="1" applyBorder="1"/>
    <xf numFmtId="20" fontId="0" fillId="0" borderId="35" xfId="0" applyNumberFormat="1" applyBorder="1"/>
    <xf numFmtId="9" fontId="35" fillId="7" borderId="18" xfId="0" applyNumberFormat="1" applyFont="1" applyFill="1" applyBorder="1" applyAlignment="1">
      <alignment vertical="center" wrapText="1"/>
    </xf>
    <xf numFmtId="0" fontId="24" fillId="0" borderId="0" xfId="0" applyFont="1" applyAlignment="1">
      <alignment horizontal="left" vertical="center" wrapText="1"/>
    </xf>
    <xf numFmtId="164" fontId="0" fillId="0" borderId="0" xfId="0" applyNumberFormat="1"/>
    <xf numFmtId="0" fontId="23" fillId="0" borderId="34" xfId="0" applyFont="1" applyBorder="1"/>
    <xf numFmtId="0" fontId="23" fillId="0" borderId="23" xfId="11"/>
    <xf numFmtId="0" fontId="22" fillId="0" borderId="0" xfId="0" applyFont="1"/>
    <xf numFmtId="0" fontId="0" fillId="0" borderId="28" xfId="0" applyBorder="1"/>
    <xf numFmtId="0" fontId="0" fillId="0" borderId="29" xfId="0" applyBorder="1"/>
    <xf numFmtId="0" fontId="21" fillId="9" borderId="27" xfId="0" applyFont="1" applyFill="1" applyBorder="1"/>
    <xf numFmtId="0" fontId="20" fillId="0" borderId="0" xfId="0" applyFont="1"/>
    <xf numFmtId="0" fontId="35" fillId="2" borderId="35" xfId="0" applyFont="1" applyFill="1" applyBorder="1" applyAlignment="1">
      <alignment vertical="center" wrapText="1"/>
    </xf>
    <xf numFmtId="0" fontId="0" fillId="10" borderId="37" xfId="0" applyFill="1" applyBorder="1" applyAlignment="1">
      <alignment vertical="center" wrapText="1"/>
    </xf>
    <xf numFmtId="0" fontId="19" fillId="9" borderId="27" xfId="0" applyFont="1" applyFill="1" applyBorder="1"/>
    <xf numFmtId="0" fontId="19" fillId="0" borderId="33" xfId="0" applyFont="1" applyBorder="1"/>
    <xf numFmtId="0" fontId="19" fillId="0" borderId="23" xfId="0" applyFont="1" applyBorder="1"/>
    <xf numFmtId="0" fontId="23" fillId="0" borderId="23" xfId="0" applyFont="1" applyBorder="1"/>
    <xf numFmtId="0" fontId="23" fillId="13" borderId="23" xfId="0" applyFont="1" applyFill="1" applyBorder="1"/>
    <xf numFmtId="0" fontId="36" fillId="3" borderId="20" xfId="0" applyFont="1" applyFill="1" applyBorder="1"/>
    <xf numFmtId="0" fontId="36" fillId="3" borderId="24" xfId="0" applyFont="1" applyFill="1" applyBorder="1"/>
    <xf numFmtId="0" fontId="38" fillId="3" borderId="20" xfId="0" applyFont="1" applyFill="1" applyBorder="1"/>
    <xf numFmtId="0" fontId="38" fillId="3" borderId="24" xfId="0" applyFont="1" applyFill="1" applyBorder="1"/>
    <xf numFmtId="0" fontId="18" fillId="0" borderId="29" xfId="0" applyFont="1" applyBorder="1"/>
    <xf numFmtId="0" fontId="18" fillId="0" borderId="0" xfId="0" applyFont="1"/>
    <xf numFmtId="0" fontId="17" fillId="9" borderId="30" xfId="0" applyFont="1" applyFill="1" applyBorder="1"/>
    <xf numFmtId="0" fontId="25" fillId="9" borderId="32" xfId="0" applyFont="1" applyFill="1" applyBorder="1"/>
    <xf numFmtId="0" fontId="26" fillId="9" borderId="32" xfId="0" applyFont="1" applyFill="1" applyBorder="1"/>
    <xf numFmtId="0" fontId="23" fillId="9" borderId="31" xfId="0" applyFont="1" applyFill="1" applyBorder="1"/>
    <xf numFmtId="49" fontId="17" fillId="9" borderId="31" xfId="0" applyNumberFormat="1" applyFont="1" applyFill="1" applyBorder="1"/>
    <xf numFmtId="49" fontId="25" fillId="9" borderId="32" xfId="0" applyNumberFormat="1" applyFont="1" applyFill="1" applyBorder="1"/>
    <xf numFmtId="164" fontId="33" fillId="0" borderId="29" xfId="0" applyNumberFormat="1" applyFont="1" applyBorder="1"/>
    <xf numFmtId="1" fontId="35" fillId="2" borderId="23" xfId="0" applyNumberFormat="1" applyFont="1" applyFill="1" applyBorder="1" applyAlignment="1">
      <alignment vertical="center" wrapText="1"/>
    </xf>
    <xf numFmtId="0" fontId="16" fillId="0" borderId="0" xfId="0" applyFont="1"/>
    <xf numFmtId="1" fontId="16" fillId="0" borderId="0" xfId="0" applyNumberFormat="1" applyFont="1"/>
    <xf numFmtId="0" fontId="0" fillId="14" borderId="0" xfId="0" applyFill="1" applyAlignment="1">
      <alignment horizontal="left" vertical="center" wrapText="1"/>
    </xf>
    <xf numFmtId="2" fontId="35" fillId="6" borderId="18" xfId="0" applyNumberFormat="1" applyFont="1" applyFill="1" applyBorder="1" applyAlignment="1">
      <alignment vertical="center" wrapText="1"/>
    </xf>
    <xf numFmtId="9" fontId="35" fillId="6" borderId="18" xfId="0" applyNumberFormat="1" applyFont="1" applyFill="1" applyBorder="1" applyAlignment="1">
      <alignment vertical="center" wrapText="1"/>
    </xf>
    <xf numFmtId="2" fontId="35" fillId="6" borderId="68" xfId="0" applyNumberFormat="1" applyFont="1" applyFill="1" applyBorder="1" applyAlignment="1">
      <alignment vertical="center" wrapText="1"/>
    </xf>
    <xf numFmtId="49" fontId="15" fillId="9" borderId="31" xfId="0" applyNumberFormat="1" applyFont="1" applyFill="1" applyBorder="1"/>
    <xf numFmtId="0" fontId="15" fillId="0" borderId="0" xfId="0" applyFont="1"/>
    <xf numFmtId="165" fontId="0" fillId="0" borderId="34" xfId="0" applyNumberFormat="1" applyBorder="1"/>
    <xf numFmtId="165" fontId="0" fillId="0" borderId="37" xfId="0" applyNumberFormat="1" applyBorder="1"/>
    <xf numFmtId="1" fontId="0" fillId="10" borderId="0" xfId="0" applyNumberFormat="1" applyFill="1" applyAlignment="1">
      <alignment vertical="center" wrapText="1"/>
    </xf>
    <xf numFmtId="0" fontId="14" fillId="0" borderId="34" xfId="0" applyFont="1" applyBorder="1"/>
    <xf numFmtId="0" fontId="14" fillId="9" borderId="27" xfId="0" applyFont="1" applyFill="1" applyBorder="1"/>
    <xf numFmtId="164" fontId="0" fillId="0" borderId="29" xfId="0" applyNumberFormat="1" applyBorder="1"/>
    <xf numFmtId="0" fontId="14" fillId="13" borderId="34" xfId="0" applyFont="1" applyFill="1" applyBorder="1"/>
    <xf numFmtId="0" fontId="14" fillId="0" borderId="0" xfId="0" applyFont="1"/>
    <xf numFmtId="0" fontId="13" fillId="9" borderId="27" xfId="0" applyFont="1" applyFill="1" applyBorder="1"/>
    <xf numFmtId="164" fontId="35" fillId="6" borderId="68" xfId="0" applyNumberFormat="1" applyFont="1" applyFill="1" applyBorder="1" applyAlignment="1">
      <alignment vertical="center" wrapText="1"/>
    </xf>
    <xf numFmtId="0" fontId="12" fillId="0" borderId="0" xfId="0" applyFont="1"/>
    <xf numFmtId="0" fontId="12" fillId="9" borderId="27" xfId="0" applyFont="1" applyFill="1" applyBorder="1"/>
    <xf numFmtId="2" fontId="0" fillId="10" borderId="0" xfId="0" applyNumberFormat="1" applyFill="1" applyAlignment="1">
      <alignment vertical="center" wrapText="1"/>
    </xf>
    <xf numFmtId="2" fontId="35" fillId="2" borderId="5" xfId="0" applyNumberFormat="1" applyFont="1" applyFill="1" applyBorder="1" applyAlignment="1">
      <alignment vertical="center" wrapText="1"/>
    </xf>
    <xf numFmtId="164" fontId="0" fillId="10" borderId="0" xfId="0" applyNumberFormat="1" applyFill="1" applyAlignment="1">
      <alignment vertical="center" wrapText="1"/>
    </xf>
    <xf numFmtId="166" fontId="0" fillId="10" borderId="0" xfId="0" applyNumberFormat="1" applyFill="1" applyAlignment="1">
      <alignment vertical="center" wrapText="1"/>
    </xf>
    <xf numFmtId="0" fontId="45" fillId="0" borderId="0" xfId="0" applyFont="1" applyAlignment="1">
      <alignment vertical="center" wrapText="1"/>
    </xf>
    <xf numFmtId="0" fontId="11" fillId="10" borderId="0" xfId="0" applyFont="1" applyFill="1" applyAlignment="1">
      <alignment vertical="center" wrapText="1"/>
    </xf>
    <xf numFmtId="20" fontId="0" fillId="0" borderId="0" xfId="0" applyNumberFormat="1"/>
    <xf numFmtId="164" fontId="10" fillId="0" borderId="0" xfId="0" applyNumberFormat="1" applyFont="1"/>
    <xf numFmtId="0" fontId="9" fillId="9" borderId="27" xfId="0" applyFont="1" applyFill="1" applyBorder="1"/>
    <xf numFmtId="0" fontId="9" fillId="0" borderId="28" xfId="0" applyFont="1" applyBorder="1"/>
    <xf numFmtId="0" fontId="9" fillId="0" borderId="23" xfId="0" applyFont="1" applyBorder="1"/>
    <xf numFmtId="0" fontId="9" fillId="0" borderId="27" xfId="0" applyFont="1" applyBorder="1"/>
    <xf numFmtId="0" fontId="9" fillId="0" borderId="34" xfId="0" applyFont="1" applyBorder="1"/>
    <xf numFmtId="0" fontId="9" fillId="13" borderId="23" xfId="0" applyFont="1" applyFill="1" applyBorder="1"/>
    <xf numFmtId="0" fontId="0" fillId="0" borderId="0" xfId="0" applyAlignment="1">
      <alignment vertical="center"/>
    </xf>
    <xf numFmtId="0" fontId="35" fillId="0" borderId="0" xfId="0" applyFont="1" applyAlignment="1">
      <alignment vertical="center"/>
    </xf>
    <xf numFmtId="1" fontId="0" fillId="0" borderId="0" xfId="0" applyNumberFormat="1" applyAlignment="1">
      <alignment vertical="center"/>
    </xf>
    <xf numFmtId="0" fontId="10" fillId="0" borderId="0" xfId="0" applyFont="1" applyAlignment="1">
      <alignment vertical="center"/>
    </xf>
    <xf numFmtId="2" fontId="0" fillId="0" borderId="0" xfId="0" applyNumberFormat="1" applyAlignment="1">
      <alignment vertical="center"/>
    </xf>
    <xf numFmtId="0" fontId="0" fillId="0" borderId="23" xfId="0" applyBorder="1" applyAlignment="1">
      <alignment vertical="center"/>
    </xf>
    <xf numFmtId="0" fontId="35" fillId="0" borderId="23" xfId="0" applyFont="1" applyBorder="1" applyAlignment="1">
      <alignment vertical="center"/>
    </xf>
    <xf numFmtId="0" fontId="8" fillId="0" borderId="0" xfId="0" applyFont="1" applyAlignment="1">
      <alignment vertical="center"/>
    </xf>
    <xf numFmtId="164" fontId="0" fillId="0" borderId="0" xfId="0" applyNumberFormat="1" applyAlignment="1">
      <alignment vertical="center"/>
    </xf>
    <xf numFmtId="49" fontId="8" fillId="9" borderId="31" xfId="0" applyNumberFormat="1" applyFont="1" applyFill="1" applyBorder="1"/>
    <xf numFmtId="0" fontId="8" fillId="0" borderId="34" xfId="0" applyFont="1" applyBorder="1"/>
    <xf numFmtId="164" fontId="0" fillId="0" borderId="28" xfId="0" applyNumberFormat="1" applyBorder="1"/>
    <xf numFmtId="0" fontId="8" fillId="0" borderId="37" xfId="44" applyBorder="1"/>
    <xf numFmtId="164" fontId="0" fillId="0" borderId="37" xfId="0" applyNumberFormat="1" applyBorder="1"/>
    <xf numFmtId="2" fontId="0" fillId="0" borderId="34" xfId="0" applyNumberFormat="1" applyBorder="1"/>
    <xf numFmtId="164" fontId="0" fillId="0" borderId="34" xfId="0" applyNumberFormat="1" applyBorder="1"/>
    <xf numFmtId="0" fontId="8" fillId="0" borderId="23" xfId="44"/>
    <xf numFmtId="0" fontId="0" fillId="0" borderId="73" xfId="0" applyBorder="1"/>
    <xf numFmtId="0" fontId="0" fillId="0" borderId="79" xfId="0" applyBorder="1"/>
    <xf numFmtId="2" fontId="8" fillId="0" borderId="34" xfId="0" quotePrefix="1" applyNumberFormat="1" applyFont="1" applyBorder="1"/>
    <xf numFmtId="165" fontId="8" fillId="0" borderId="23" xfId="44" applyNumberFormat="1"/>
    <xf numFmtId="0" fontId="0" fillId="0" borderId="77" xfId="0" applyBorder="1"/>
    <xf numFmtId="0" fontId="8" fillId="0" borderId="23" xfId="65"/>
    <xf numFmtId="0" fontId="8" fillId="0" borderId="78" xfId="0" applyFont="1" applyBorder="1"/>
    <xf numFmtId="0" fontId="22" fillId="0" borderId="23" xfId="0" applyFont="1" applyBorder="1"/>
    <xf numFmtId="0" fontId="0" fillId="0" borderId="78" xfId="0" applyBorder="1"/>
    <xf numFmtId="0" fontId="8" fillId="0" borderId="23" xfId="65" quotePrefix="1"/>
    <xf numFmtId="0" fontId="0" fillId="0" borderId="76" xfId="0" applyBorder="1"/>
    <xf numFmtId="0" fontId="17" fillId="9" borderId="74" xfId="0" applyFont="1" applyFill="1" applyBorder="1"/>
    <xf numFmtId="2" fontId="0" fillId="0" borderId="78" xfId="0" applyNumberFormat="1" applyBorder="1"/>
    <xf numFmtId="0" fontId="8" fillId="0" borderId="37" xfId="65" applyBorder="1"/>
    <xf numFmtId="165" fontId="0" fillId="0" borderId="23" xfId="0" applyNumberFormat="1" applyBorder="1"/>
    <xf numFmtId="165" fontId="8" fillId="0" borderId="23" xfId="65" applyNumberFormat="1"/>
    <xf numFmtId="0" fontId="61" fillId="9" borderId="36" xfId="0" applyFont="1" applyFill="1" applyBorder="1"/>
    <xf numFmtId="0" fontId="61" fillId="9" borderId="37" xfId="0" applyFont="1" applyFill="1" applyBorder="1"/>
    <xf numFmtId="0" fontId="61" fillId="9" borderId="36" xfId="0" applyFont="1" applyFill="1" applyBorder="1" applyAlignment="1">
      <alignment horizontal="left"/>
    </xf>
    <xf numFmtId="0" fontId="7" fillId="9" borderId="30" xfId="0" applyFont="1" applyFill="1" applyBorder="1"/>
    <xf numFmtId="0" fontId="7" fillId="9" borderId="31" xfId="0" applyFont="1" applyFill="1" applyBorder="1"/>
    <xf numFmtId="49" fontId="7" fillId="9" borderId="31" xfId="0" applyNumberFormat="1" applyFont="1" applyFill="1" applyBorder="1"/>
    <xf numFmtId="49" fontId="7" fillId="9" borderId="32" xfId="0" applyNumberFormat="1" applyFont="1" applyFill="1" applyBorder="1"/>
    <xf numFmtId="0" fontId="7" fillId="9" borderId="32" xfId="0" applyFont="1" applyFill="1" applyBorder="1"/>
    <xf numFmtId="0" fontId="7" fillId="0" borderId="34" xfId="0" quotePrefix="1" applyFont="1" applyBorder="1"/>
    <xf numFmtId="0" fontId="7" fillId="0" borderId="33" xfId="0" applyFont="1" applyBorder="1"/>
    <xf numFmtId="0" fontId="7" fillId="0" borderId="34" xfId="0" applyFont="1" applyBorder="1"/>
    <xf numFmtId="0" fontId="7" fillId="0" borderId="78" xfId="0" applyFont="1" applyBorder="1"/>
    <xf numFmtId="0" fontId="7" fillId="0" borderId="80" xfId="0" applyFont="1" applyBorder="1"/>
    <xf numFmtId="0" fontId="7" fillId="0" borderId="37" xfId="0" quotePrefix="1" applyFont="1" applyBorder="1"/>
    <xf numFmtId="2" fontId="8" fillId="0" borderId="37" xfId="0" quotePrefix="1" applyNumberFormat="1" applyFont="1" applyBorder="1"/>
    <xf numFmtId="2" fontId="0" fillId="0" borderId="37" xfId="0" applyNumberFormat="1" applyBorder="1"/>
    <xf numFmtId="2" fontId="7" fillId="0" borderId="80" xfId="0" applyNumberFormat="1" applyFont="1" applyBorder="1"/>
    <xf numFmtId="2" fontId="7" fillId="0" borderId="81" xfId="0" applyNumberFormat="1" applyFont="1" applyBorder="1"/>
    <xf numFmtId="2" fontId="0" fillId="0" borderId="80" xfId="0" applyNumberFormat="1" applyBorder="1"/>
    <xf numFmtId="2" fontId="0" fillId="0" borderId="81" xfId="0" applyNumberFormat="1" applyBorder="1"/>
    <xf numFmtId="0" fontId="6" fillId="0" borderId="23" xfId="0" applyFont="1" applyBorder="1"/>
    <xf numFmtId="0" fontId="6" fillId="0" borderId="0" xfId="0" applyFont="1"/>
    <xf numFmtId="0" fontId="6" fillId="0" borderId="28" xfId="0" applyFont="1" applyBorder="1"/>
    <xf numFmtId="0" fontId="6" fillId="0" borderId="29" xfId="0" applyFont="1" applyBorder="1"/>
    <xf numFmtId="0" fontId="6" fillId="9" borderId="30" xfId="0" applyFont="1" applyFill="1" applyBorder="1"/>
    <xf numFmtId="165" fontId="0" fillId="0" borderId="0" xfId="0" applyNumberFormat="1"/>
    <xf numFmtId="167" fontId="35" fillId="2" borderId="5" xfId="0" applyNumberFormat="1" applyFont="1" applyFill="1" applyBorder="1" applyAlignment="1">
      <alignment vertical="center" wrapText="1"/>
    </xf>
    <xf numFmtId="0" fontId="5" fillId="0" borderId="33" xfId="0" applyFont="1" applyBorder="1"/>
    <xf numFmtId="0" fontId="9" fillId="9" borderId="45" xfId="0" applyFont="1" applyFill="1" applyBorder="1" applyAlignment="1">
      <alignment wrapText="1"/>
    </xf>
    <xf numFmtId="0" fontId="33" fillId="0" borderId="45" xfId="0" applyFont="1" applyBorder="1"/>
    <xf numFmtId="0" fontId="5" fillId="9" borderId="45" xfId="0" applyFont="1" applyFill="1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5" xfId="0" applyBorder="1"/>
    <xf numFmtId="0" fontId="0" fillId="0" borderId="36" xfId="0" applyBorder="1"/>
    <xf numFmtId="2" fontId="0" fillId="0" borderId="45" xfId="0" applyNumberFormat="1" applyBorder="1"/>
    <xf numFmtId="0" fontId="4" fillId="0" borderId="34" xfId="0" applyFont="1" applyBorder="1"/>
    <xf numFmtId="0" fontId="3" fillId="9" borderId="27" xfId="0" applyFont="1" applyFill="1" applyBorder="1" applyAlignment="1">
      <alignment wrapText="1"/>
    </xf>
    <xf numFmtId="2" fontId="41" fillId="0" borderId="23" xfId="0" applyNumberFormat="1" applyFont="1" applyBorder="1"/>
    <xf numFmtId="2" fontId="35" fillId="0" borderId="23" xfId="0" applyNumberFormat="1" applyFont="1" applyBorder="1"/>
    <xf numFmtId="49" fontId="2" fillId="9" borderId="31" xfId="0" applyNumberFormat="1" applyFont="1" applyFill="1" applyBorder="1"/>
    <xf numFmtId="2" fontId="0" fillId="0" borderId="0" xfId="0" applyNumberFormat="1"/>
    <xf numFmtId="0" fontId="1" fillId="0" borderId="0" xfId="0" applyFont="1" applyAlignment="1">
      <alignment horizontal="left" vertical="center" wrapText="1"/>
    </xf>
    <xf numFmtId="0" fontId="40" fillId="5" borderId="38" xfId="0" applyFont="1" applyFill="1" applyBorder="1" applyAlignment="1">
      <alignment horizontal="left" vertical="center" wrapText="1"/>
    </xf>
    <xf numFmtId="0" fontId="40" fillId="5" borderId="39" xfId="0" applyFont="1" applyFill="1" applyBorder="1" applyAlignment="1">
      <alignment horizontal="left" vertical="center" wrapText="1"/>
    </xf>
    <xf numFmtId="0" fontId="44" fillId="3" borderId="38" xfId="0" applyFont="1" applyFill="1" applyBorder="1" applyAlignment="1">
      <alignment horizontal="center" vertical="center" wrapText="1"/>
    </xf>
    <xf numFmtId="0" fontId="44" fillId="3" borderId="40" xfId="0" applyFont="1" applyFill="1" applyBorder="1" applyAlignment="1">
      <alignment horizontal="center" vertical="center" wrapText="1"/>
    </xf>
    <xf numFmtId="0" fontId="44" fillId="3" borderId="39" xfId="0" applyFont="1" applyFill="1" applyBorder="1" applyAlignment="1">
      <alignment horizontal="center" vertical="center" wrapText="1"/>
    </xf>
    <xf numFmtId="0" fontId="42" fillId="3" borderId="42" xfId="0" applyFont="1" applyFill="1" applyBorder="1" applyAlignment="1">
      <alignment horizontal="center" vertical="center" wrapText="1"/>
    </xf>
    <xf numFmtId="0" fontId="42" fillId="3" borderId="43" xfId="0" applyFont="1" applyFill="1" applyBorder="1" applyAlignment="1">
      <alignment horizontal="center" vertical="center" wrapText="1"/>
    </xf>
    <xf numFmtId="0" fontId="42" fillId="3" borderId="44" xfId="0" applyFont="1" applyFill="1" applyBorder="1" applyAlignment="1">
      <alignment horizontal="center" vertical="center" wrapText="1"/>
    </xf>
    <xf numFmtId="0" fontId="43" fillId="3" borderId="38" xfId="0" applyFont="1" applyFill="1" applyBorder="1" applyAlignment="1">
      <alignment horizontal="center" vertical="center" wrapText="1"/>
    </xf>
    <xf numFmtId="0" fontId="43" fillId="3" borderId="40" xfId="0" applyFont="1" applyFill="1" applyBorder="1" applyAlignment="1">
      <alignment horizontal="center" vertical="center" wrapText="1"/>
    </xf>
    <xf numFmtId="0" fontId="43" fillId="3" borderId="39" xfId="0" applyFont="1" applyFill="1" applyBorder="1" applyAlignment="1">
      <alignment horizontal="center" vertical="center" wrapText="1"/>
    </xf>
    <xf numFmtId="20" fontId="35" fillId="13" borderId="45" xfId="0" applyNumberFormat="1" applyFont="1" applyFill="1" applyBorder="1" applyAlignment="1">
      <alignment horizontal="right"/>
    </xf>
    <xf numFmtId="0" fontId="40" fillId="5" borderId="66" xfId="0" applyFont="1" applyFill="1" applyBorder="1" applyAlignment="1">
      <alignment horizontal="left" vertical="center" wrapText="1"/>
    </xf>
    <xf numFmtId="0" fontId="40" fillId="5" borderId="19" xfId="0" applyFont="1" applyFill="1" applyBorder="1" applyAlignment="1">
      <alignment horizontal="left" vertical="center" wrapText="1"/>
    </xf>
    <xf numFmtId="0" fontId="40" fillId="5" borderId="67" xfId="0" applyFont="1" applyFill="1" applyBorder="1" applyAlignment="1">
      <alignment horizontal="left" vertical="center" wrapText="1"/>
    </xf>
    <xf numFmtId="0" fontId="40" fillId="4" borderId="38" xfId="0" applyFont="1" applyFill="1" applyBorder="1" applyAlignment="1">
      <alignment horizontal="left" vertical="center" wrapText="1"/>
    </xf>
    <xf numFmtId="0" fontId="40" fillId="4" borderId="40" xfId="0" applyFont="1" applyFill="1" applyBorder="1" applyAlignment="1">
      <alignment horizontal="left" vertical="center" wrapText="1"/>
    </xf>
    <xf numFmtId="0" fontId="40" fillId="4" borderId="39" xfId="0" applyFont="1" applyFill="1" applyBorder="1" applyAlignment="1">
      <alignment horizontal="left" vertical="center" wrapText="1"/>
    </xf>
    <xf numFmtId="0" fontId="40" fillId="5" borderId="35" xfId="0" applyFont="1" applyFill="1" applyBorder="1" applyAlignment="1">
      <alignment horizontal="left" vertical="center" wrapText="1"/>
    </xf>
    <xf numFmtId="0" fontId="40" fillId="5" borderId="37" xfId="0" applyFont="1" applyFill="1" applyBorder="1" applyAlignment="1">
      <alignment horizontal="left" vertical="center" wrapText="1"/>
    </xf>
    <xf numFmtId="0" fontId="40" fillId="4" borderId="47" xfId="0" applyFont="1" applyFill="1" applyBorder="1" applyAlignment="1">
      <alignment horizontal="left" vertical="center" wrapText="1"/>
    </xf>
    <xf numFmtId="0" fontId="40" fillId="4" borderId="48" xfId="0" applyFont="1" applyFill="1" applyBorder="1" applyAlignment="1">
      <alignment horizontal="left" vertical="center" wrapText="1"/>
    </xf>
    <xf numFmtId="0" fontId="40" fillId="4" borderId="49" xfId="0" applyFont="1" applyFill="1" applyBorder="1" applyAlignment="1">
      <alignment horizontal="left" vertical="center" wrapText="1"/>
    </xf>
    <xf numFmtId="0" fontId="40" fillId="5" borderId="54" xfId="0" applyFont="1" applyFill="1" applyBorder="1" applyAlignment="1">
      <alignment horizontal="left" vertical="center" wrapText="1"/>
    </xf>
    <xf numFmtId="0" fontId="40" fillId="5" borderId="14" xfId="0" applyFont="1" applyFill="1" applyBorder="1" applyAlignment="1">
      <alignment horizontal="left" vertical="center" wrapText="1"/>
    </xf>
    <xf numFmtId="0" fontId="40" fillId="5" borderId="51" xfId="0" applyFont="1" applyFill="1" applyBorder="1" applyAlignment="1">
      <alignment horizontal="left" vertical="center" wrapText="1"/>
    </xf>
    <xf numFmtId="0" fontId="40" fillId="5" borderId="65" xfId="0" applyFont="1" applyFill="1" applyBorder="1" applyAlignment="1">
      <alignment horizontal="left" vertical="center" wrapText="1"/>
    </xf>
    <xf numFmtId="0" fontId="40" fillId="5" borderId="23" xfId="0" applyFont="1" applyFill="1" applyBorder="1" applyAlignment="1">
      <alignment horizontal="left" vertical="center" wrapText="1"/>
    </xf>
    <xf numFmtId="0" fontId="40" fillId="5" borderId="24" xfId="0" applyFont="1" applyFill="1" applyBorder="1" applyAlignment="1">
      <alignment horizontal="left" vertical="center" wrapText="1"/>
    </xf>
    <xf numFmtId="0" fontId="44" fillId="3" borderId="42" xfId="0" applyFont="1" applyFill="1" applyBorder="1" applyAlignment="1">
      <alignment horizontal="center" vertical="center" wrapText="1"/>
    </xf>
    <xf numFmtId="0" fontId="44" fillId="3" borderId="43" xfId="0" applyFont="1" applyFill="1" applyBorder="1" applyAlignment="1">
      <alignment horizontal="center" vertical="center" wrapText="1"/>
    </xf>
    <xf numFmtId="0" fontId="44" fillId="3" borderId="44" xfId="0" applyFont="1" applyFill="1" applyBorder="1" applyAlignment="1">
      <alignment horizontal="center" vertical="center" wrapText="1"/>
    </xf>
    <xf numFmtId="0" fontId="40" fillId="4" borderId="45" xfId="0" applyFont="1" applyFill="1" applyBorder="1" applyAlignment="1">
      <alignment horizontal="left" vertical="center" wrapText="1"/>
    </xf>
    <xf numFmtId="0" fontId="40" fillId="12" borderId="38" xfId="0" applyFont="1" applyFill="1" applyBorder="1" applyAlignment="1">
      <alignment horizontal="left" vertical="center" wrapText="1"/>
    </xf>
    <xf numFmtId="0" fontId="40" fillId="12" borderId="40" xfId="0" applyFont="1" applyFill="1" applyBorder="1" applyAlignment="1">
      <alignment horizontal="left" vertical="center" wrapText="1"/>
    </xf>
    <xf numFmtId="0" fontId="40" fillId="12" borderId="39" xfId="0" applyFont="1" applyFill="1" applyBorder="1" applyAlignment="1">
      <alignment horizontal="left" vertical="center" wrapText="1"/>
    </xf>
    <xf numFmtId="0" fontId="40" fillId="5" borderId="52" xfId="0" applyFont="1" applyFill="1" applyBorder="1" applyAlignment="1">
      <alignment horizontal="left" vertical="center" wrapText="1"/>
    </xf>
    <xf numFmtId="0" fontId="36" fillId="3" borderId="7" xfId="0" applyFont="1" applyFill="1" applyBorder="1" applyAlignment="1">
      <alignment horizontal="left"/>
    </xf>
    <xf numFmtId="0" fontId="36" fillId="3" borderId="26" xfId="0" applyFont="1" applyFill="1" applyBorder="1" applyAlignment="1">
      <alignment horizontal="left"/>
    </xf>
    <xf numFmtId="0" fontId="37" fillId="0" borderId="8" xfId="0" applyFont="1" applyBorder="1"/>
    <xf numFmtId="0" fontId="37" fillId="0" borderId="26" xfId="0" applyFont="1" applyBorder="1"/>
    <xf numFmtId="0" fontId="37" fillId="0" borderId="9" xfId="0" applyFont="1" applyBorder="1"/>
    <xf numFmtId="0" fontId="38" fillId="3" borderId="7" xfId="0" applyFont="1" applyFill="1" applyBorder="1" applyAlignment="1">
      <alignment horizontal="left" wrapText="1"/>
    </xf>
    <xf numFmtId="0" fontId="38" fillId="3" borderId="26" xfId="0" applyFont="1" applyFill="1" applyBorder="1" applyAlignment="1">
      <alignment horizontal="left" wrapText="1"/>
    </xf>
    <xf numFmtId="0" fontId="38" fillId="3" borderId="9" xfId="0" applyFont="1" applyFill="1" applyBorder="1" applyAlignment="1">
      <alignment horizontal="left" wrapText="1"/>
    </xf>
    <xf numFmtId="0" fontId="36" fillId="3" borderId="9" xfId="0" applyFont="1" applyFill="1" applyBorder="1" applyAlignment="1">
      <alignment horizontal="left"/>
    </xf>
    <xf numFmtId="0" fontId="38" fillId="3" borderId="20" xfId="0" applyFont="1" applyFill="1" applyBorder="1" applyAlignment="1">
      <alignment horizontal="left"/>
    </xf>
    <xf numFmtId="0" fontId="38" fillId="3" borderId="24" xfId="0" applyFont="1" applyFill="1" applyBorder="1" applyAlignment="1">
      <alignment horizontal="left"/>
    </xf>
    <xf numFmtId="0" fontId="36" fillId="3" borderId="20" xfId="0" applyFont="1" applyFill="1" applyBorder="1" applyAlignment="1">
      <alignment horizontal="left"/>
    </xf>
    <xf numFmtId="0" fontId="36" fillId="3" borderId="24" xfId="0" applyFont="1" applyFill="1" applyBorder="1" applyAlignment="1">
      <alignment horizontal="left"/>
    </xf>
    <xf numFmtId="0" fontId="61" fillId="9" borderId="30" xfId="0" applyFont="1" applyFill="1" applyBorder="1" applyAlignment="1">
      <alignment horizontal="center"/>
    </xf>
    <xf numFmtId="0" fontId="61" fillId="9" borderId="32" xfId="0" applyFont="1" applyFill="1" applyBorder="1" applyAlignment="1">
      <alignment horizontal="center"/>
    </xf>
    <xf numFmtId="0" fontId="61" fillId="9" borderId="35" xfId="0" applyFont="1" applyFill="1" applyBorder="1" applyAlignment="1">
      <alignment horizontal="center"/>
    </xf>
    <xf numFmtId="0" fontId="61" fillId="9" borderId="36" xfId="0" applyFont="1" applyFill="1" applyBorder="1" applyAlignment="1">
      <alignment horizontal="center"/>
    </xf>
    <xf numFmtId="0" fontId="61" fillId="9" borderId="37" xfId="0" applyFont="1" applyFill="1" applyBorder="1" applyAlignment="1">
      <alignment horizontal="center"/>
    </xf>
    <xf numFmtId="0" fontId="61" fillId="9" borderId="35" xfId="0" applyFont="1" applyFill="1" applyBorder="1" applyAlignment="1">
      <alignment horizontal="right"/>
    </xf>
    <xf numFmtId="0" fontId="61" fillId="9" borderId="36" xfId="0" applyFont="1" applyFill="1" applyBorder="1" applyAlignment="1">
      <alignment horizontal="right"/>
    </xf>
    <xf numFmtId="0" fontId="61" fillId="0" borderId="69" xfId="0" applyFont="1" applyBorder="1" applyAlignment="1">
      <alignment horizontal="left"/>
    </xf>
    <xf numFmtId="0" fontId="61" fillId="0" borderId="70" xfId="0" applyFont="1" applyBorder="1" applyAlignment="1">
      <alignment horizontal="left"/>
    </xf>
    <xf numFmtId="0" fontId="61" fillId="0" borderId="71" xfId="0" applyFont="1" applyBorder="1" applyAlignment="1">
      <alignment horizontal="left"/>
    </xf>
    <xf numFmtId="0" fontId="61" fillId="9" borderId="72" xfId="0" applyFont="1" applyFill="1" applyBorder="1" applyAlignment="1">
      <alignment horizontal="center"/>
    </xf>
    <xf numFmtId="0" fontId="61" fillId="9" borderId="75" xfId="0" applyFont="1" applyFill="1" applyBorder="1" applyAlignment="1">
      <alignment horizontal="center"/>
    </xf>
    <xf numFmtId="0" fontId="5" fillId="9" borderId="38" xfId="0" applyFont="1" applyFill="1" applyBorder="1" applyAlignment="1">
      <alignment horizontal="center"/>
    </xf>
    <xf numFmtId="0" fontId="5" fillId="9" borderId="40" xfId="0" applyFont="1" applyFill="1" applyBorder="1" applyAlignment="1">
      <alignment horizontal="center"/>
    </xf>
    <xf numFmtId="0" fontId="5" fillId="9" borderId="39" xfId="0" applyFont="1" applyFill="1" applyBorder="1" applyAlignment="1">
      <alignment horizontal="center"/>
    </xf>
  </cellXfs>
  <cellStyles count="86">
    <cellStyle name="20% - Accent1 2" xfId="21" xr:uid="{B02B1BC1-9C8A-4088-A987-4A3F085ED3A7}"/>
    <cellStyle name="20% - Accent1 2 2" xfId="67" xr:uid="{1FE8C462-DED7-40CD-A425-86293D2FE1DD}"/>
    <cellStyle name="20% - Accent1 3" xfId="46" xr:uid="{4A3E07CF-0910-49F6-94E0-59902E8185AA}"/>
    <cellStyle name="20% - Accent2 2" xfId="25" xr:uid="{5530F43B-C6CF-4C9D-8293-97966B72F57B}"/>
    <cellStyle name="20% - Accent2 2 2" xfId="70" xr:uid="{7E736B54-FFE5-4094-B584-7F81FB86ADC4}"/>
    <cellStyle name="20% - Accent2 3" xfId="49" xr:uid="{B5251B3E-5651-48F6-B80F-EFFC2C4BCFC8}"/>
    <cellStyle name="20% - Accent3 2" xfId="29" xr:uid="{F2F0188A-4E81-4F55-A205-91F0109A780C}"/>
    <cellStyle name="20% - Accent3 2 2" xfId="73" xr:uid="{50835DA2-8DE3-4EBB-8BAE-CC017B9F2348}"/>
    <cellStyle name="20% - Accent3 3" xfId="52" xr:uid="{5DF163BF-5CAB-4181-82B0-957E2A048230}"/>
    <cellStyle name="20% - Accent4 2" xfId="33" xr:uid="{EFE9BF36-1978-45B4-BE65-5B8CE22690A5}"/>
    <cellStyle name="20% - Accent4 2 2" xfId="76" xr:uid="{6B970D56-67D5-43D6-B961-F8199CE57BED}"/>
    <cellStyle name="20% - Accent4 3" xfId="55" xr:uid="{34CE403E-B563-45FF-B2DE-76CA793611A0}"/>
    <cellStyle name="20% - Accent5 2" xfId="37" xr:uid="{F3A77C64-EE27-4D4A-985A-6A7DD3BAF240}"/>
    <cellStyle name="20% - Accent5 2 2" xfId="79" xr:uid="{5178C926-BA8E-4812-BE7C-76BF1B63FB62}"/>
    <cellStyle name="20% - Accent5 3" xfId="58" xr:uid="{E95CBADB-1307-4391-852D-F8E9205AFCCF}"/>
    <cellStyle name="20% - Accent6 2" xfId="41" xr:uid="{EDADE228-58EE-43CC-85A1-F3361797237A}"/>
    <cellStyle name="20% - Accent6 2 2" xfId="82" xr:uid="{9BEA3E80-C8FC-420C-B2B2-CC48F0961251}"/>
    <cellStyle name="20% - Accent6 3" xfId="61" xr:uid="{D69D48F1-9374-4DE4-904B-E13FE9DD8860}"/>
    <cellStyle name="40% - Accent1 2" xfId="22" xr:uid="{75AEFEAC-2353-437B-9E24-EF00FF3C7B4A}"/>
    <cellStyle name="40% - Accent1 2 2" xfId="68" xr:uid="{B6580F75-7353-43B6-9783-B838FFE07FFC}"/>
    <cellStyle name="40% - Accent1 3" xfId="47" xr:uid="{1B9A583F-D32C-45A1-9D43-4198240453CC}"/>
    <cellStyle name="40% - Accent2 2" xfId="26" xr:uid="{631CBEA7-3304-4585-9572-D43F4EAF74BC}"/>
    <cellStyle name="40% - Accent2 2 2" xfId="71" xr:uid="{D6D2FB0E-4320-4469-A7DE-D5457D57F854}"/>
    <cellStyle name="40% - Accent2 3" xfId="50" xr:uid="{77C47DC6-AB22-49CA-B810-E61669BB524A}"/>
    <cellStyle name="40% - Accent3 2" xfId="30" xr:uid="{BB8A5000-333E-4952-98D3-011EAB53FAC4}"/>
    <cellStyle name="40% - Accent3 2 2" xfId="74" xr:uid="{31318255-9FBE-407D-A368-BE77F0134A4C}"/>
    <cellStyle name="40% - Accent3 3" xfId="53" xr:uid="{19D6B51A-9960-49E7-84E6-FEB49C1E5B28}"/>
    <cellStyle name="40% - Accent4 2" xfId="34" xr:uid="{9C1860A5-4207-4E40-9E24-BE469F39F302}"/>
    <cellStyle name="40% - Accent4 2 2" xfId="77" xr:uid="{615FDBFF-34B8-4207-BF86-42D38AE29D85}"/>
    <cellStyle name="40% - Accent4 3" xfId="56" xr:uid="{93232B0D-7CBE-45C4-9C50-40835EE6EFD5}"/>
    <cellStyle name="40% - Accent5 2" xfId="38" xr:uid="{24F7AE1D-2773-47B4-9C35-2F712DD6EC5A}"/>
    <cellStyle name="40% - Accent5 2 2" xfId="80" xr:uid="{588A90DF-2645-43AA-9D2C-F4C13285F01B}"/>
    <cellStyle name="40% - Accent5 3" xfId="59" xr:uid="{BA9A1EBE-34D2-41F9-B7EA-872F55E80462}"/>
    <cellStyle name="40% - Accent6 2" xfId="42" xr:uid="{B000B8DB-2532-4A0F-8D04-064A24F3B386}"/>
    <cellStyle name="40% - Accent6 2 2" xfId="83" xr:uid="{C2A41A1B-F87A-4BB6-BC22-65EDDAC96E31}"/>
    <cellStyle name="40% - Accent6 3" xfId="62" xr:uid="{200E7062-EE95-40EA-8B10-824A046C503E}"/>
    <cellStyle name="60% - Accent1 2" xfId="23" xr:uid="{AAB2F11F-D31D-4EC2-919A-CACBEE80D7B4}"/>
    <cellStyle name="60% - Accent1 2 2" xfId="69" xr:uid="{1E7ADAB6-78ED-46F3-947C-46873C62BA25}"/>
    <cellStyle name="60% - Accent1 3" xfId="48" xr:uid="{0BE2B46A-1B7B-4897-875B-DF07C53F969F}"/>
    <cellStyle name="60% - Accent2 2" xfId="27" xr:uid="{90B1B97C-A3EB-432B-8565-C16991888D4F}"/>
    <cellStyle name="60% - Accent2 2 2" xfId="72" xr:uid="{17D6DAF1-41C8-4BD0-B537-9B8C48A2C8FE}"/>
    <cellStyle name="60% - Accent2 3" xfId="51" xr:uid="{D73D738A-6F84-4742-AD85-E8833A6302F5}"/>
    <cellStyle name="60% - Accent3 2" xfId="31" xr:uid="{D5259BFB-FF9C-4D9B-894B-80B7E464A847}"/>
    <cellStyle name="60% - Accent3 2 2" xfId="75" xr:uid="{AB6D3DDA-A181-48AE-AC9B-DB60225F9803}"/>
    <cellStyle name="60% - Accent3 3" xfId="54" xr:uid="{5757D31F-B358-412B-88CC-2A6B8D93464A}"/>
    <cellStyle name="60% - Accent4 2" xfId="35" xr:uid="{7B0434C2-01DD-4DCE-9EE3-49C47D1A7956}"/>
    <cellStyle name="60% - Accent4 2 2" xfId="78" xr:uid="{DE46EFBA-156A-400A-8531-E59C08A98063}"/>
    <cellStyle name="60% - Accent4 3" xfId="57" xr:uid="{6501CF5C-5474-44F1-89DD-DB3F22F30EFD}"/>
    <cellStyle name="60% - Accent5 2" xfId="39" xr:uid="{4A413933-B3D9-4819-BE9B-B188EC289AE2}"/>
    <cellStyle name="60% - Accent5 2 2" xfId="81" xr:uid="{79A0CB8D-E113-41C4-A933-3542101DDD00}"/>
    <cellStyle name="60% - Accent5 3" xfId="60" xr:uid="{80E11079-F463-4C21-B719-A9B310DF62F7}"/>
    <cellStyle name="60% - Accent6 2" xfId="43" xr:uid="{8FBF307B-1600-4BB1-900B-8F859C827D62}"/>
    <cellStyle name="60% - Accent6 2 2" xfId="84" xr:uid="{28903CAF-E508-4278-AF90-5C0675C8D29B}"/>
    <cellStyle name="60% - Accent6 3" xfId="63" xr:uid="{7D62C5A1-687C-4A3F-9659-FCD02E684E97}"/>
    <cellStyle name="Accent1 2" xfId="20" xr:uid="{1249F926-40D8-42F6-A0BC-EE69B9B4C68F}"/>
    <cellStyle name="Accent2 2" xfId="24" xr:uid="{1DB53010-9978-4EAA-ABED-7BC92CED2FA5}"/>
    <cellStyle name="Accent3 2" xfId="28" xr:uid="{4CF82A95-3098-4D2A-8829-2521A4D67972}"/>
    <cellStyle name="Accent4 2" xfId="32" xr:uid="{6279838D-79C2-4CE6-948A-BD95362AB60F}"/>
    <cellStyle name="Accent5 2" xfId="36" xr:uid="{C069C13D-483F-4B84-BCEB-5C5D0A7398FF}"/>
    <cellStyle name="Accent6 2" xfId="40" xr:uid="{B2C8F465-7AF9-4343-883E-CBF98B971182}"/>
    <cellStyle name="Bad 2" xfId="15" xr:uid="{7F7C24F4-B58E-4A5F-9056-F89ACE0C8B0D}"/>
    <cellStyle name="Calculation" xfId="7" builtinId="22" customBuiltin="1"/>
    <cellStyle name="Check Cell" xfId="9" builtinId="23" customBuiltin="1"/>
    <cellStyle name="Explanatory Text 2" xfId="19" xr:uid="{8D07699A-C168-4343-B999-57293A061C7B}"/>
    <cellStyle name="Good 2" xfId="14" xr:uid="{594C2BDA-5627-478D-BE30-86367C6DE935}"/>
    <cellStyle name="Heading 1" xfId="2" builtinId="16" customBuiltin="1"/>
    <cellStyle name="Heading 2" xfId="3" builtinId="17" customBuiltin="1"/>
    <cellStyle name="Heading 3" xfId="4" builtinId="18" customBuiltin="1"/>
    <cellStyle name="Heading 4 2" xfId="13" xr:uid="{52FE292E-2169-40BD-B1A4-40ED0DBF9AE1}"/>
    <cellStyle name="Input" xfId="5" builtinId="20" customBuiltin="1"/>
    <cellStyle name="Linked Cell" xfId="8" builtinId="24" customBuiltin="1"/>
    <cellStyle name="Neutral 2" xfId="16" xr:uid="{8B5560B5-3917-493E-8AA8-9D910C7AD36D}"/>
    <cellStyle name="Normal" xfId="0" builtinId="0"/>
    <cellStyle name="Normal 2" xfId="1" xr:uid="{1636E60D-3D79-4879-A2BF-21D4ADCDE005}"/>
    <cellStyle name="Normal 3" xfId="11" xr:uid="{60095DD2-B3D6-4B06-B63C-1BBD4BAC13C4}"/>
    <cellStyle name="Normal 3 2" xfId="65" xr:uid="{BCA4F353-B680-49F0-8698-8089ACCD81A2}"/>
    <cellStyle name="Normal 4" xfId="44" xr:uid="{D4372F42-8481-4125-9131-EDFE7743DE0C}"/>
    <cellStyle name="Normal 5" xfId="64" xr:uid="{3B946C8C-8EB8-433A-A656-594D1089BAE5}"/>
    <cellStyle name="Normal 5 2" xfId="85" xr:uid="{541FB923-4929-4C4D-9157-7581E256A291}"/>
    <cellStyle name="Note 2" xfId="18" xr:uid="{4A76D9C6-57BB-496D-A11D-FE861DBE0E50}"/>
    <cellStyle name="Note 2 2" xfId="66" xr:uid="{C46A3AB8-079B-4635-A8C7-2BBAF89441A6}"/>
    <cellStyle name="Note 3" xfId="45" xr:uid="{9DEAE757-20C2-42DA-B0A1-B7AC6FE1359E}"/>
    <cellStyle name="Output" xfId="6" builtinId="21" customBuiltin="1"/>
    <cellStyle name="Title 2" xfId="12" xr:uid="{D3DDFB84-7619-4E34-8CB4-A04D824CD416}"/>
    <cellStyle name="Total" xfId="10" builtinId="25" customBuiltin="1"/>
    <cellStyle name="Warning Text 2" xfId="17" xr:uid="{3805806D-6903-48E9-9BD5-0C65CD8981A9}"/>
  </cellStyles>
  <dxfs count="0"/>
  <tableStyles count="0" defaultTableStyle="TableStyleMedium2" defaultPivotStyle="PivotStyleLight16"/>
  <colors>
    <mruColors>
      <color rgb="FFBC4B51"/>
      <color rgb="FF8CB369"/>
      <color rgb="FF5B8E7D"/>
      <color rgb="FFF4A259"/>
      <color rgb="FFF4E285"/>
      <color rgb="FFF2F2F2"/>
      <color rgb="FF94D2BD"/>
      <color rgb="FFEE9B00"/>
      <color rgb="FF005F73"/>
      <color rgb="FF0A93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Load</a:t>
            </a:r>
            <a:r>
              <a:rPr lang="en-US" baseline="0"/>
              <a:t> profile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'Calculation Values'!$S$6</c:f>
              <c:strCache>
                <c:ptCount val="1"/>
              </c:strCache>
            </c:strRef>
          </c:tx>
          <c:spPr>
            <a:solidFill>
              <a:srgbClr val="5B8E7D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Values'!$S$7:$S$102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3-8796-4CB9-BB87-8343DDF43C3A}"/>
            </c:ext>
          </c:extLst>
        </c:ser>
        <c:ser>
          <c:idx val="1"/>
          <c:order val="1"/>
          <c:tx>
            <c:strRef>
              <c:f>'Calculation Values'!$T$6</c:f>
              <c:strCache>
                <c:ptCount val="1"/>
              </c:strCache>
            </c:strRef>
          </c:tx>
          <c:spPr>
            <a:solidFill>
              <a:srgbClr val="F4A259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Values'!$T$7:$T$102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4-8796-4CB9-BB87-8343DDF43C3A}"/>
            </c:ext>
          </c:extLst>
        </c:ser>
        <c:ser>
          <c:idx val="2"/>
          <c:order val="2"/>
          <c:tx>
            <c:strRef>
              <c:f>'Calculation Values'!$U$6</c:f>
              <c:strCache>
                <c:ptCount val="1"/>
              </c:strCache>
            </c:strRef>
          </c:tx>
          <c:spPr>
            <a:solidFill>
              <a:srgbClr val="F4E285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Values'!$U$7:$U$102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5-8796-4CB9-BB87-8343DDF43C3A}"/>
            </c:ext>
          </c:extLst>
        </c:ser>
        <c:ser>
          <c:idx val="3"/>
          <c:order val="3"/>
          <c:tx>
            <c:strRef>
              <c:f>'Calculation Values'!$V$6</c:f>
              <c:strCache>
                <c:ptCount val="1"/>
              </c:strCache>
            </c:strRef>
          </c:tx>
          <c:spPr>
            <a:solidFill>
              <a:srgbClr val="8CB369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Values'!$V$7:$V$102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8-8796-4CB9-BB87-8343DDF43C3A}"/>
            </c:ext>
          </c:extLst>
        </c:ser>
        <c:ser>
          <c:idx val="4"/>
          <c:order val="4"/>
          <c:tx>
            <c:strRef>
              <c:f>'Calculation Values'!$W$6</c:f>
              <c:strCache>
                <c:ptCount val="1"/>
              </c:strCache>
            </c:strRef>
          </c:tx>
          <c:spPr>
            <a:solidFill>
              <a:srgbClr val="BC4B51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Values'!$W$7:$W$102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9-8796-4CB9-BB87-8343DDF43C3A}"/>
            </c:ext>
          </c:extLst>
        </c:ser>
        <c:ser>
          <c:idx val="5"/>
          <c:order val="5"/>
          <c:tx>
            <c:strRef>
              <c:f>'Calculation Values'!$X$6</c:f>
              <c:strCache>
                <c:ptCount val="1"/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Values'!$X$7:$X$102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0-1C85-49E1-A707-0FA0BECCEB95}"/>
            </c:ext>
          </c:extLst>
        </c:ser>
        <c:ser>
          <c:idx val="6"/>
          <c:order val="6"/>
          <c:tx>
            <c:strRef>
              <c:f>'Calculation Values'!$Y$6</c:f>
              <c:strCache>
                <c:ptCount val="1"/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Values'!$Y$7:$Y$102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1-1C85-49E1-A707-0FA0BECCEB95}"/>
            </c:ext>
          </c:extLst>
        </c:ser>
        <c:ser>
          <c:idx val="7"/>
          <c:order val="7"/>
          <c:tx>
            <c:strRef>
              <c:f>'Calculation Values'!$Z$6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Values'!$Z$7:$Z$102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2-1C85-49E1-A707-0FA0BECCEB95}"/>
            </c:ext>
          </c:extLst>
        </c:ser>
        <c:ser>
          <c:idx val="8"/>
          <c:order val="8"/>
          <c:tx>
            <c:strRef>
              <c:f>'Calculation Values'!$AA$6</c:f>
              <c:strCache>
                <c:ptCount val="1"/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Values'!$AA$7:$AA$102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3-1C85-49E1-A707-0FA0BECCEB95}"/>
            </c:ext>
          </c:extLst>
        </c:ser>
        <c:ser>
          <c:idx val="9"/>
          <c:order val="9"/>
          <c:tx>
            <c:strRef>
              <c:f>'Calculation Values'!$AB$6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Values'!$AB$7:$AB$102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4-1C85-49E1-A707-0FA0BECCEB95}"/>
            </c:ext>
          </c:extLst>
        </c:ser>
        <c:ser>
          <c:idx val="10"/>
          <c:order val="10"/>
          <c:tx>
            <c:strRef>
              <c:f>'Calculation Values'!$AC$6</c:f>
              <c:strCache>
                <c:ptCount val="1"/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Values'!$AC$7:$AC$102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5-1C85-49E1-A707-0FA0BECCEB95}"/>
            </c:ext>
          </c:extLst>
        </c:ser>
        <c:ser>
          <c:idx val="11"/>
          <c:order val="11"/>
          <c:tx>
            <c:strRef>
              <c:f>'Calculation Values'!$AD$6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Values'!$AD$7:$AD$102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6-1C85-49E1-A707-0FA0BECCEB95}"/>
            </c:ext>
          </c:extLst>
        </c:ser>
        <c:ser>
          <c:idx val="12"/>
          <c:order val="12"/>
          <c:tx>
            <c:strRef>
              <c:f>'Calculation Values'!$AE$6</c:f>
              <c:strCache>
                <c:ptCount val="1"/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Values'!$AE$7:$AE$102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7-1C85-49E1-A707-0FA0BECCEB95}"/>
            </c:ext>
          </c:extLst>
        </c:ser>
        <c:ser>
          <c:idx val="13"/>
          <c:order val="13"/>
          <c:tx>
            <c:strRef>
              <c:f>'Calculation Values'!$AF$6</c:f>
              <c:strCache>
                <c:ptCount val="1"/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Values'!$AF$7:$AF$102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8-1C85-49E1-A707-0FA0BECCEB95}"/>
            </c:ext>
          </c:extLst>
        </c:ser>
        <c:ser>
          <c:idx val="14"/>
          <c:order val="14"/>
          <c:tx>
            <c:strRef>
              <c:f>'Calculation Values'!$AG$6</c:f>
              <c:strCache>
                <c:ptCount val="1"/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Values'!$AG$7:$AG$102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9-1C85-49E1-A707-0FA0BECCEB95}"/>
            </c:ext>
          </c:extLst>
        </c:ser>
        <c:ser>
          <c:idx val="15"/>
          <c:order val="15"/>
          <c:tx>
            <c:strRef>
              <c:f>'Calculation Values'!$AH$6</c:f>
              <c:strCache>
                <c:ptCount val="1"/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Values'!$AH$7:$AH$102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A-1C85-49E1-A707-0FA0BECCEB95}"/>
            </c:ext>
          </c:extLst>
        </c:ser>
        <c:ser>
          <c:idx val="16"/>
          <c:order val="16"/>
          <c:tx>
            <c:strRef>
              <c:f>'Calculation Values'!$AI$6</c:f>
              <c:strCache>
                <c:ptCount val="1"/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Values'!$AI$7:$AI$102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B-1C85-49E1-A707-0FA0BECCEB95}"/>
            </c:ext>
          </c:extLst>
        </c:ser>
        <c:ser>
          <c:idx val="17"/>
          <c:order val="17"/>
          <c:tx>
            <c:strRef>
              <c:f>'Calculation Values'!$AJ$6</c:f>
              <c:strCache>
                <c:ptCount val="1"/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Values'!$AJ$7:$AJ$102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C-1C85-49E1-A707-0FA0BECCEB95}"/>
            </c:ext>
          </c:extLst>
        </c:ser>
        <c:ser>
          <c:idx val="18"/>
          <c:order val="18"/>
          <c:tx>
            <c:strRef>
              <c:f>'Calculation Values'!$AK$6</c:f>
              <c:strCache>
                <c:ptCount val="1"/>
              </c:strCache>
            </c:strRef>
          </c:tx>
          <c:spPr>
            <a:solidFill>
              <a:schemeClr val="accent1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Values'!$AK$7:$AK$102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D-1C85-49E1-A707-0FA0BECCEB95}"/>
            </c:ext>
          </c:extLst>
        </c:ser>
        <c:ser>
          <c:idx val="19"/>
          <c:order val="19"/>
          <c:tx>
            <c:strRef>
              <c:f>'Calculation Values'!$AL$6</c:f>
              <c:strCache>
                <c:ptCount val="1"/>
              </c:strCache>
            </c:strRef>
          </c:tx>
          <c:spPr>
            <a:solidFill>
              <a:schemeClr val="accent2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Values'!$AL$7:$AL$102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E-1C85-49E1-A707-0FA0BECCEB95}"/>
            </c:ext>
          </c:extLst>
        </c:ser>
        <c:ser>
          <c:idx val="20"/>
          <c:order val="20"/>
          <c:tx>
            <c:strRef>
              <c:f>'Calculation Values'!$AM$6</c:f>
              <c:strCache>
                <c:ptCount val="1"/>
              </c:strCache>
            </c:strRef>
          </c:tx>
          <c:spPr>
            <a:solidFill>
              <a:schemeClr val="accent3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Values'!$AM$7:$AM$102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F-1C85-49E1-A707-0FA0BECCEB95}"/>
            </c:ext>
          </c:extLst>
        </c:ser>
        <c:ser>
          <c:idx val="21"/>
          <c:order val="21"/>
          <c:tx>
            <c:strRef>
              <c:f>'Calculation Values'!$AN$6</c:f>
              <c:strCache>
                <c:ptCount val="1"/>
              </c:strCache>
            </c:strRef>
          </c:tx>
          <c:spPr>
            <a:solidFill>
              <a:schemeClr val="accent4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Values'!$AN$7:$AN$102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0-1C85-49E1-A707-0FA0BECCEB95}"/>
            </c:ext>
          </c:extLst>
        </c:ser>
        <c:ser>
          <c:idx val="22"/>
          <c:order val="22"/>
          <c:tx>
            <c:strRef>
              <c:f>'Calculation Values'!$AO$6</c:f>
              <c:strCache>
                <c:ptCount val="1"/>
              </c:strCache>
            </c:strRef>
          </c:tx>
          <c:spPr>
            <a:solidFill>
              <a:schemeClr val="accent5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Values'!$AO$7:$AO$102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1-1C85-49E1-A707-0FA0BECCEB95}"/>
            </c:ext>
          </c:extLst>
        </c:ser>
        <c:ser>
          <c:idx val="23"/>
          <c:order val="23"/>
          <c:tx>
            <c:strRef>
              <c:f>'Calculation Values'!$AP$6</c:f>
              <c:strCache>
                <c:ptCount val="1"/>
              </c:strCache>
            </c:strRef>
          </c:tx>
          <c:spPr>
            <a:solidFill>
              <a:schemeClr val="accent6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Values'!$AP$7:$AP$102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2-1C85-49E1-A707-0FA0BECCEB95}"/>
            </c:ext>
          </c:extLst>
        </c:ser>
        <c:ser>
          <c:idx val="24"/>
          <c:order val="24"/>
          <c:tx>
            <c:strRef>
              <c:f>'Calculation Values'!$AQ$6</c:f>
              <c:strCache>
                <c:ptCount val="1"/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Values'!$AQ$7:$AQ$102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3-1C85-49E1-A707-0FA0BECCEB95}"/>
            </c:ext>
          </c:extLst>
        </c:ser>
        <c:ser>
          <c:idx val="25"/>
          <c:order val="25"/>
          <c:tx>
            <c:strRef>
              <c:f>'Calculation Values'!$AR$6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Values'!$AR$7:$AR$102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4-1C85-49E1-A707-0FA0BECCEB95}"/>
            </c:ext>
          </c:extLst>
        </c:ser>
        <c:ser>
          <c:idx val="26"/>
          <c:order val="26"/>
          <c:tx>
            <c:strRef>
              <c:f>'Calculation Values'!$AS$6</c:f>
              <c:strCache>
                <c:ptCount val="1"/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Values'!$AS$7:$AS$102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5-1C85-49E1-A707-0FA0BECCEB95}"/>
            </c:ext>
          </c:extLst>
        </c:ser>
        <c:ser>
          <c:idx val="27"/>
          <c:order val="27"/>
          <c:tx>
            <c:strRef>
              <c:f>'Calculation Values'!$AT$6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Values'!$AT$7:$AT$102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6-1C85-49E1-A707-0FA0BECCEB95}"/>
            </c:ext>
          </c:extLst>
        </c:ser>
        <c:ser>
          <c:idx val="28"/>
          <c:order val="28"/>
          <c:tx>
            <c:strRef>
              <c:f>'Calculation Values'!$AU$6</c:f>
              <c:strCache>
                <c:ptCount val="1"/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Values'!$AU$7:$AU$102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7-1C85-49E1-A707-0FA0BECCEB95}"/>
            </c:ext>
          </c:extLst>
        </c:ser>
        <c:ser>
          <c:idx val="29"/>
          <c:order val="29"/>
          <c:tx>
            <c:strRef>
              <c:f>'Calculation Values'!$AV$6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Values'!$AV$7:$AV$102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8-1C85-49E1-A707-0FA0BECCEB95}"/>
            </c:ext>
          </c:extLst>
        </c:ser>
        <c:ser>
          <c:idx val="30"/>
          <c:order val="30"/>
          <c:tx>
            <c:strRef>
              <c:f>'Calculation Values'!$AW$6</c:f>
              <c:strCache>
                <c:ptCount val="1"/>
              </c:strCache>
            </c:strRef>
          </c:tx>
          <c:spPr>
            <a:solidFill>
              <a:schemeClr val="accent1">
                <a:lumMod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Values'!$AW$7:$AW$102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9-1C85-49E1-A707-0FA0BECCEB95}"/>
            </c:ext>
          </c:extLst>
        </c:ser>
        <c:ser>
          <c:idx val="31"/>
          <c:order val="31"/>
          <c:tx>
            <c:strRef>
              <c:f>'Calculation Values'!$AX$6</c:f>
              <c:strCache>
                <c:ptCount val="1"/>
              </c:strCache>
            </c:strRef>
          </c:tx>
          <c:spPr>
            <a:solidFill>
              <a:schemeClr val="accent2">
                <a:lumMod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Values'!$AX$7:$AX$102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A-1C85-49E1-A707-0FA0BECCEB95}"/>
            </c:ext>
          </c:extLst>
        </c:ser>
        <c:ser>
          <c:idx val="32"/>
          <c:order val="32"/>
          <c:tx>
            <c:strRef>
              <c:f>'Calculation Values'!$AY$6</c:f>
              <c:strCache>
                <c:ptCount val="1"/>
              </c:strCache>
            </c:strRef>
          </c:tx>
          <c:spPr>
            <a:solidFill>
              <a:schemeClr val="accent3">
                <a:lumMod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Values'!$AY$7:$AY$102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B-1C85-49E1-A707-0FA0BECCEB95}"/>
            </c:ext>
          </c:extLst>
        </c:ser>
        <c:ser>
          <c:idx val="33"/>
          <c:order val="33"/>
          <c:tx>
            <c:strRef>
              <c:f>'Calculation Values'!$AZ$6</c:f>
              <c:strCache>
                <c:ptCount val="1"/>
              </c:strCache>
            </c:strRef>
          </c:tx>
          <c:spPr>
            <a:solidFill>
              <a:schemeClr val="accent4">
                <a:lumMod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Values'!$AZ$7:$AZ$102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C-1C85-49E1-A707-0FA0BECCEB95}"/>
            </c:ext>
          </c:extLst>
        </c:ser>
        <c:ser>
          <c:idx val="34"/>
          <c:order val="34"/>
          <c:tx>
            <c:strRef>
              <c:f>'Calculation Values'!$BA$6</c:f>
              <c:strCache>
                <c:ptCount val="1"/>
              </c:strCache>
            </c:strRef>
          </c:tx>
          <c:spPr>
            <a:solidFill>
              <a:schemeClr val="accent5">
                <a:lumMod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Values'!$BA$7:$BA$102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D-1C85-49E1-A707-0FA0BECCEB95}"/>
            </c:ext>
          </c:extLst>
        </c:ser>
        <c:ser>
          <c:idx val="35"/>
          <c:order val="35"/>
          <c:tx>
            <c:strRef>
              <c:f>'Calculation Values'!$BB$6</c:f>
              <c:strCache>
                <c:ptCount val="1"/>
              </c:strCache>
            </c:strRef>
          </c:tx>
          <c:spPr>
            <a:solidFill>
              <a:schemeClr val="accent6">
                <a:lumMod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Values'!$BB$7:$BB$102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E-1C85-49E1-A707-0FA0BECCEB95}"/>
            </c:ext>
          </c:extLst>
        </c:ser>
        <c:ser>
          <c:idx val="36"/>
          <c:order val="36"/>
          <c:tx>
            <c:strRef>
              <c:f>'Calculation Values'!$BC$6</c:f>
              <c:strCache>
                <c:ptCount val="1"/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Values'!$BC$7:$BC$102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F-1C85-49E1-A707-0FA0BECCEB95}"/>
            </c:ext>
          </c:extLst>
        </c:ser>
        <c:ser>
          <c:idx val="37"/>
          <c:order val="37"/>
          <c:tx>
            <c:strRef>
              <c:f>'Calculation Values'!$BD$6</c:f>
              <c:strCache>
                <c:ptCount val="1"/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Values'!$BD$7:$BD$102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0-1C85-49E1-A707-0FA0BECCEB95}"/>
            </c:ext>
          </c:extLst>
        </c:ser>
        <c:ser>
          <c:idx val="38"/>
          <c:order val="38"/>
          <c:tx>
            <c:strRef>
              <c:f>'Calculation Values'!$BE$6</c:f>
              <c:strCache>
                <c:ptCount val="1"/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Values'!$BE$7:$BE$102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1-1C85-49E1-A707-0FA0BECCEB95}"/>
            </c:ext>
          </c:extLst>
        </c:ser>
        <c:ser>
          <c:idx val="39"/>
          <c:order val="39"/>
          <c:tx>
            <c:strRef>
              <c:f>'Calculation Values'!$BF$6</c:f>
              <c:strCache>
                <c:ptCount val="1"/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Values'!$BF$7:$BF$102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2-1C85-49E1-A707-0FA0BECCEB95}"/>
            </c:ext>
          </c:extLst>
        </c:ser>
        <c:ser>
          <c:idx val="40"/>
          <c:order val="40"/>
          <c:tx>
            <c:strRef>
              <c:f>'Calculation Values'!$BG$6</c:f>
              <c:strCache>
                <c:ptCount val="1"/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Values'!$BG$7:$BG$102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3-1C85-49E1-A707-0FA0BECCEB95}"/>
            </c:ext>
          </c:extLst>
        </c:ser>
        <c:ser>
          <c:idx val="41"/>
          <c:order val="41"/>
          <c:tx>
            <c:strRef>
              <c:f>'Calculation Values'!$BH$6</c:f>
              <c:strCache>
                <c:ptCount val="1"/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Values'!$BH$7:$BH$102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4-1C85-49E1-A707-0FA0BECCEB95}"/>
            </c:ext>
          </c:extLst>
        </c:ser>
        <c:ser>
          <c:idx val="42"/>
          <c:order val="42"/>
          <c:tx>
            <c:strRef>
              <c:f>'Calculation Values'!$BI$6</c:f>
              <c:strCache>
                <c:ptCount val="1"/>
              </c:strCache>
            </c:strRef>
          </c:tx>
          <c:spPr>
            <a:solidFill>
              <a:schemeClr val="accent1">
                <a:lumMod val="7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Values'!$BI$7:$BI$102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5-1C85-49E1-A707-0FA0BECCEB95}"/>
            </c:ext>
          </c:extLst>
        </c:ser>
        <c:ser>
          <c:idx val="43"/>
          <c:order val="43"/>
          <c:tx>
            <c:strRef>
              <c:f>'Calculation Values'!$BJ$6</c:f>
              <c:strCache>
                <c:ptCount val="1"/>
              </c:strCache>
            </c:strRef>
          </c:tx>
          <c:spPr>
            <a:solidFill>
              <a:schemeClr val="accent2">
                <a:lumMod val="7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Values'!$BJ$7:$BJ$102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6-1C85-49E1-A707-0FA0BECCEB95}"/>
            </c:ext>
          </c:extLst>
        </c:ser>
        <c:ser>
          <c:idx val="44"/>
          <c:order val="44"/>
          <c:tx>
            <c:strRef>
              <c:f>'Calculation Values'!$BK$6</c:f>
              <c:strCache>
                <c:ptCount val="1"/>
              </c:strCache>
            </c:strRef>
          </c:tx>
          <c:spPr>
            <a:solidFill>
              <a:schemeClr val="accent3">
                <a:lumMod val="7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Values'!$BK$7:$BK$102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7-1C85-49E1-A707-0FA0BECCEB95}"/>
            </c:ext>
          </c:extLst>
        </c:ser>
        <c:ser>
          <c:idx val="45"/>
          <c:order val="45"/>
          <c:tx>
            <c:strRef>
              <c:f>'Calculation Values'!$BL$6</c:f>
              <c:strCache>
                <c:ptCount val="1"/>
              </c:strCache>
            </c:strRef>
          </c:tx>
          <c:spPr>
            <a:solidFill>
              <a:schemeClr val="accent4">
                <a:lumMod val="7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Values'!$BL$7:$BL$102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8-1C85-49E1-A707-0FA0BECCEB95}"/>
            </c:ext>
          </c:extLst>
        </c:ser>
        <c:ser>
          <c:idx val="46"/>
          <c:order val="46"/>
          <c:tx>
            <c:strRef>
              <c:f>'Calculation Values'!$BM$6</c:f>
              <c:strCache>
                <c:ptCount val="1"/>
              </c:strCache>
            </c:strRef>
          </c:tx>
          <c:spPr>
            <a:solidFill>
              <a:schemeClr val="accent5">
                <a:lumMod val="7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Values'!$BM$7:$BM$102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9-1C85-49E1-A707-0FA0BECCEB95}"/>
            </c:ext>
          </c:extLst>
        </c:ser>
        <c:ser>
          <c:idx val="47"/>
          <c:order val="47"/>
          <c:tx>
            <c:strRef>
              <c:f>'Calculation Values'!$BN$6</c:f>
              <c:strCache>
                <c:ptCount val="1"/>
              </c:strCache>
            </c:strRef>
          </c:tx>
          <c:spPr>
            <a:solidFill>
              <a:schemeClr val="accent6">
                <a:lumMod val="7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Values'!$BN$7:$BN$102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A-1C85-49E1-A707-0FA0BECCEB95}"/>
            </c:ext>
          </c:extLst>
        </c:ser>
        <c:ser>
          <c:idx val="48"/>
          <c:order val="48"/>
          <c:tx>
            <c:strRef>
              <c:f>'Calculation Values'!$BO$6</c:f>
              <c:strCache>
                <c:ptCount val="1"/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Values'!$BO$7:$BO$102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B-1C85-49E1-A707-0FA0BECCEB95}"/>
            </c:ext>
          </c:extLst>
        </c:ser>
        <c:ser>
          <c:idx val="49"/>
          <c:order val="49"/>
          <c:tx>
            <c:strRef>
              <c:f>'Calculation Values'!$BP$6</c:f>
              <c:strCache>
                <c:ptCount val="1"/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Values'!$BP$7:$BP$102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C-1C85-49E1-A707-0FA0BECCEB95}"/>
            </c:ext>
          </c:extLst>
        </c:ser>
        <c:ser>
          <c:idx val="50"/>
          <c:order val="50"/>
          <c:tx>
            <c:strRef>
              <c:f>'Calculation Values'!$BQ$6</c:f>
              <c:strCache>
                <c:ptCount val="1"/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Values'!$BQ$7:$BQ$102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D-1C85-49E1-A707-0FA0BECCEB95}"/>
            </c:ext>
          </c:extLst>
        </c:ser>
        <c:ser>
          <c:idx val="51"/>
          <c:order val="51"/>
          <c:tx>
            <c:strRef>
              <c:f>'Calculation Values'!$BR$6</c:f>
              <c:strCache>
                <c:ptCount val="1"/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Values'!$BR$7:$BR$102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E-1C85-49E1-A707-0FA0BECCEB95}"/>
            </c:ext>
          </c:extLst>
        </c:ser>
        <c:ser>
          <c:idx val="52"/>
          <c:order val="52"/>
          <c:tx>
            <c:strRef>
              <c:f>'Calculation Values'!$BS$6</c:f>
              <c:strCache>
                <c:ptCount val="1"/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Values'!$BS$7:$BS$102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F-1C85-49E1-A707-0FA0BECCEB95}"/>
            </c:ext>
          </c:extLst>
        </c:ser>
        <c:ser>
          <c:idx val="53"/>
          <c:order val="53"/>
          <c:tx>
            <c:strRef>
              <c:f>'Calculation Values'!$BT$6</c:f>
              <c:strCache>
                <c:ptCount val="1"/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Values'!$BT$7:$BT$102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30-1C85-49E1-A707-0FA0BECCEB95}"/>
            </c:ext>
          </c:extLst>
        </c:ser>
        <c:ser>
          <c:idx val="54"/>
          <c:order val="54"/>
          <c:tx>
            <c:strRef>
              <c:f>'Calculation Values'!$BU$6</c:f>
              <c:strCache>
                <c:ptCount val="1"/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Values'!$BU$7:$BU$102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31-1C85-49E1-A707-0FA0BECCEB95}"/>
            </c:ext>
          </c:extLst>
        </c:ser>
        <c:ser>
          <c:idx val="55"/>
          <c:order val="55"/>
          <c:tx>
            <c:strRef>
              <c:f>'Calculation Values'!$BV$6</c:f>
              <c:strCache>
                <c:ptCount val="1"/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Values'!$BV$7:$BV$102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32-1C85-49E1-A707-0FA0BECCEB95}"/>
            </c:ext>
          </c:extLst>
        </c:ser>
        <c:ser>
          <c:idx val="56"/>
          <c:order val="56"/>
          <c:tx>
            <c:strRef>
              <c:f>'Calculation Values'!$BW$6</c:f>
              <c:strCache>
                <c:ptCount val="1"/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Values'!$BW$7:$BW$102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33-1C85-49E1-A707-0FA0BECCEB95}"/>
            </c:ext>
          </c:extLst>
        </c:ser>
        <c:ser>
          <c:idx val="117"/>
          <c:order val="57"/>
          <c:tx>
            <c:v>Full Home Load Profile</c:v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val>
            <c:numRef>
              <c:f>'Calculation Values'!#REF!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47-480E-8DD1-F6957A7F7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614736"/>
        <c:axId val="729612240"/>
      </c:areaChart>
      <c:scatterChart>
        <c:scatterStyle val="lineMarker"/>
        <c:varyColors val="0"/>
        <c:ser>
          <c:idx val="57"/>
          <c:order val="58"/>
          <c:tx>
            <c:v>Peak 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yVal>
            <c:numRef>
              <c:f>'Calculation Values'!$EH$7:$EH$102</c:f>
              <c:numCache>
                <c:formatCode>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0E5-4A40-94C2-AF45E0BC6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614736"/>
        <c:axId val="729612240"/>
        <c:extLst/>
      </c:scatterChart>
      <c:catAx>
        <c:axId val="72961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of 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2240"/>
        <c:crosses val="autoZero"/>
        <c:auto val="1"/>
        <c:lblAlgn val="ctr"/>
        <c:lblOffset val="100"/>
        <c:tickLblSkip val="8"/>
        <c:tickMarkSkip val="2"/>
        <c:noMultiLvlLbl val="1"/>
      </c:catAx>
      <c:valAx>
        <c:axId val="72961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Watts [W]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4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output of</a:t>
            </a:r>
            <a:r>
              <a:rPr lang="en-US" baseline="0"/>
              <a:t> backup sources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'Calculation Values'!$D$6</c:f>
              <c:strCache>
                <c:ptCount val="1"/>
                <c:pt idx="0">
                  <c:v>Battery Electric Vehicle</c:v>
                </c:pt>
              </c:strCache>
            </c:strRef>
          </c:tx>
          <c:spPr>
            <a:solidFill>
              <a:srgbClr val="9B2226"/>
            </a:solidFill>
            <a:ln>
              <a:noFill/>
            </a:ln>
            <a:effectLst/>
          </c:spPr>
          <c:cat>
            <c:numRef>
              <c:f>'Calculation Values'!$B$7:$B$294</c:f>
              <c:numCache>
                <c:formatCode>h:mm</c:formatCode>
                <c:ptCount val="288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Values'!$D$7:$D$102</c:f>
              <c:numCache>
                <c:formatCode>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62-4F75-8D23-F1F044E817FC}"/>
            </c:ext>
          </c:extLst>
        </c:ser>
        <c:ser>
          <c:idx val="6"/>
          <c:order val="1"/>
          <c:tx>
            <c:strRef>
              <c:f>'Calculation Values'!$E$6</c:f>
              <c:strCache>
                <c:ptCount val="1"/>
                <c:pt idx="0">
                  <c:v>Plug-In Hybrid Electric Vehicle (Battery)</c:v>
                </c:pt>
              </c:strCache>
            </c:strRef>
          </c:tx>
          <c:spPr>
            <a:solidFill>
              <a:srgbClr val="0A9396"/>
            </a:solidFill>
            <a:ln w="25400">
              <a:noFill/>
            </a:ln>
            <a:effectLst/>
          </c:spPr>
          <c:cat>
            <c:numRef>
              <c:f>'Calculation Values'!$B$7:$B$294</c:f>
              <c:numCache>
                <c:formatCode>h:mm</c:formatCode>
                <c:ptCount val="288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Values'!$E$7:$E$102</c:f>
              <c:numCache>
                <c:formatCode>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F0-4DC9-9071-DE0EB4AD3335}"/>
            </c:ext>
          </c:extLst>
        </c:ser>
        <c:ser>
          <c:idx val="1"/>
          <c:order val="2"/>
          <c:tx>
            <c:strRef>
              <c:f>'Calculation Values'!$F$6</c:f>
              <c:strCache>
                <c:ptCount val="1"/>
                <c:pt idx="0">
                  <c:v>Plug-In Hybrid Electric Vehicle (Engine)</c:v>
                </c:pt>
              </c:strCache>
            </c:strRef>
          </c:tx>
          <c:spPr>
            <a:solidFill>
              <a:srgbClr val="005F73"/>
            </a:solidFill>
            <a:ln>
              <a:noFill/>
            </a:ln>
            <a:effectLst/>
          </c:spPr>
          <c:cat>
            <c:numRef>
              <c:f>'Calculation Values'!$B$7:$B$294</c:f>
              <c:numCache>
                <c:formatCode>h:mm</c:formatCode>
                <c:ptCount val="288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Values'!$F$7:$F$102</c:f>
              <c:numCache>
                <c:formatCode>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62-4F75-8D23-F1F044E817FC}"/>
            </c:ext>
          </c:extLst>
        </c:ser>
        <c:ser>
          <c:idx val="2"/>
          <c:order val="3"/>
          <c:tx>
            <c:strRef>
              <c:f>'Calculation Values'!$G$6</c:f>
              <c:strCache>
                <c:ptCount val="1"/>
                <c:pt idx="0">
                  <c:v>Behind-the-Meter Storage</c:v>
                </c:pt>
              </c:strCache>
            </c:strRef>
          </c:tx>
          <c:spPr>
            <a:solidFill>
              <a:srgbClr val="EE9B00"/>
            </a:solidFill>
            <a:ln>
              <a:noFill/>
            </a:ln>
            <a:effectLst/>
          </c:spPr>
          <c:cat>
            <c:numRef>
              <c:f>'Calculation Values'!$B$7:$B$294</c:f>
              <c:numCache>
                <c:formatCode>h:mm</c:formatCode>
                <c:ptCount val="288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Values'!$G$7:$G$102</c:f>
              <c:numCache>
                <c:formatCode>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62-4F75-8D23-F1F044E817FC}"/>
            </c:ext>
          </c:extLst>
        </c:ser>
        <c:ser>
          <c:idx val="3"/>
          <c:order val="4"/>
          <c:tx>
            <c:strRef>
              <c:f>'Calculation Values'!$H$6</c:f>
              <c:strCache>
                <c:ptCount val="1"/>
                <c:pt idx="0">
                  <c:v>Portable Generator</c:v>
                </c:pt>
              </c:strCache>
            </c:strRef>
          </c:tx>
          <c:spPr>
            <a:solidFill>
              <a:srgbClr val="94D2BD"/>
            </a:solidFill>
            <a:ln>
              <a:noFill/>
            </a:ln>
            <a:effectLst/>
          </c:spPr>
          <c:cat>
            <c:numRef>
              <c:f>'Calculation Values'!$B$7:$B$294</c:f>
              <c:numCache>
                <c:formatCode>h:mm</c:formatCode>
                <c:ptCount val="288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Values'!$H$7:$H$102</c:f>
              <c:numCache>
                <c:formatCode>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62-4F75-8D23-F1F044E817FC}"/>
            </c:ext>
          </c:extLst>
        </c:ser>
        <c:ser>
          <c:idx val="5"/>
          <c:order val="5"/>
          <c:tx>
            <c:strRef>
              <c:f>'Calculation Values'!$I$6</c:f>
              <c:strCache>
                <c:ptCount val="1"/>
                <c:pt idx="0">
                  <c:v>Standby Generator</c:v>
                </c:pt>
              </c:strCache>
            </c:strRef>
          </c:tx>
          <c:spPr>
            <a:solidFill>
              <a:srgbClr val="CA6702"/>
            </a:solidFill>
            <a:ln w="25400">
              <a:noFill/>
            </a:ln>
            <a:effectLst/>
          </c:spPr>
          <c:cat>
            <c:numRef>
              <c:f>'Calculation Values'!$B$7:$B$294</c:f>
              <c:numCache>
                <c:formatCode>h:mm</c:formatCode>
                <c:ptCount val="288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Values'!$I$7:$I$102</c:f>
              <c:numCache>
                <c:formatCode>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9F-4A45-8854-20B20A2E415C}"/>
            </c:ext>
          </c:extLst>
        </c:ser>
        <c:ser>
          <c:idx val="4"/>
          <c:order val="6"/>
          <c:tx>
            <c:strRef>
              <c:f>'Calculation Values'!$J$6</c:f>
              <c:strCache>
                <c:ptCount val="1"/>
                <c:pt idx="0">
                  <c:v>Photovoltaic Generation</c:v>
                </c:pt>
              </c:strCache>
            </c:strRef>
          </c:tx>
          <c:spPr>
            <a:solidFill>
              <a:srgbClr val="E9D8A6"/>
            </a:solidFill>
            <a:ln>
              <a:noFill/>
            </a:ln>
            <a:effectLst/>
          </c:spPr>
          <c:cat>
            <c:numRef>
              <c:f>'Calculation Values'!$B$7:$B$294</c:f>
              <c:numCache>
                <c:formatCode>h:mm</c:formatCode>
                <c:ptCount val="288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Values'!$J$7:$J$102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62-4F75-8D23-F1F044E81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614736"/>
        <c:axId val="729612240"/>
      </c:areaChart>
      <c:catAx>
        <c:axId val="72961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of 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2240"/>
        <c:crosses val="autoZero"/>
        <c:auto val="1"/>
        <c:lblAlgn val="ctr"/>
        <c:lblOffset val="100"/>
        <c:tickLblSkip val="8"/>
        <c:tickMarkSkip val="2"/>
        <c:noMultiLvlLbl val="1"/>
      </c:catAx>
      <c:valAx>
        <c:axId val="72961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Power Output [W]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4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State</a:t>
            </a:r>
            <a:r>
              <a:rPr lang="en-US" baseline="0"/>
              <a:t>-of-charge </a:t>
            </a:r>
            <a:r>
              <a:rPr lang="en-US"/>
              <a:t>of</a:t>
            </a:r>
            <a:r>
              <a:rPr lang="en-US" baseline="0"/>
              <a:t> battery backup sources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'Optimization Results'!$L$6</c:f>
              <c:strCache>
                <c:ptCount val="1"/>
                <c:pt idx="0">
                  <c:v>Battery Electric Vehicle</c:v>
                </c:pt>
              </c:strCache>
            </c:strRef>
          </c:tx>
          <c:spPr>
            <a:ln w="19050" cap="rnd">
              <a:solidFill>
                <a:srgbClr val="9B2226"/>
              </a:solidFill>
              <a:round/>
            </a:ln>
            <a:effectLst/>
          </c:spPr>
          <c:marker>
            <c:symbol val="none"/>
          </c:marke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'Optimization Results'!$L$7:$L$102</c:f>
              <c:numCache>
                <c:formatCode>General</c:formatCode>
                <c:ptCount val="9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76-4116-BB0B-3049A1D06C88}"/>
            </c:ext>
          </c:extLst>
        </c:ser>
        <c:ser>
          <c:idx val="1"/>
          <c:order val="1"/>
          <c:tx>
            <c:strRef>
              <c:f>'Optimization Results'!$M$6</c:f>
              <c:strCache>
                <c:ptCount val="1"/>
                <c:pt idx="0">
                  <c:v>Plug-In Hybrid Electric Vehicle</c:v>
                </c:pt>
              </c:strCache>
            </c:strRef>
          </c:tx>
          <c:spPr>
            <a:ln w="19050" cap="rnd">
              <a:solidFill>
                <a:srgbClr val="0A9396"/>
              </a:solidFill>
              <a:round/>
            </a:ln>
            <a:effectLst/>
          </c:spPr>
          <c:marker>
            <c:symbol val="none"/>
          </c:marke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'Optimization Results'!$M$7:$M$102</c:f>
              <c:numCache>
                <c:formatCode>General</c:formatCode>
                <c:ptCount val="9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76-4116-BB0B-3049A1D06C88}"/>
            </c:ext>
          </c:extLst>
        </c:ser>
        <c:ser>
          <c:idx val="2"/>
          <c:order val="2"/>
          <c:tx>
            <c:strRef>
              <c:f>'Optimization Results'!$N$6</c:f>
              <c:strCache>
                <c:ptCount val="1"/>
                <c:pt idx="0">
                  <c:v>Behind-the-Meter Storage</c:v>
                </c:pt>
              </c:strCache>
            </c:strRef>
          </c:tx>
          <c:spPr>
            <a:ln w="19050" cap="rnd">
              <a:solidFill>
                <a:srgbClr val="EE9B00"/>
              </a:solidFill>
              <a:round/>
            </a:ln>
            <a:effectLst/>
          </c:spPr>
          <c:marker>
            <c:symbol val="none"/>
          </c:marke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'Optimization Results'!$N$7:$N$102</c:f>
              <c:numCache>
                <c:formatCode>General</c:formatCode>
                <c:ptCount val="9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76-4116-BB0B-3049A1D06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9614736"/>
        <c:axId val="729612240"/>
      </c:lineChart>
      <c:catAx>
        <c:axId val="72961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of 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2240"/>
        <c:crosses val="autoZero"/>
        <c:auto val="1"/>
        <c:lblAlgn val="ctr"/>
        <c:lblOffset val="100"/>
        <c:tickLblSkip val="8"/>
        <c:tickMarkSkip val="2"/>
        <c:noMultiLvlLbl val="1"/>
      </c:catAx>
      <c:valAx>
        <c:axId val="7296122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State-of-Charge</a:t>
                </a:r>
                <a:r>
                  <a:rPr lang="en-US" sz="1400" baseline="0"/>
                  <a:t> [%]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4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Load</a:t>
            </a:r>
            <a:r>
              <a:rPr lang="en-US" baseline="0"/>
              <a:t> profile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'Calculation Values'!$S$6</c:f>
              <c:strCache>
                <c:ptCount val="1"/>
              </c:strCache>
            </c:strRef>
          </c:tx>
          <c:spPr>
            <a:solidFill>
              <a:srgbClr val="5B8E7D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Values'!$S$7:$S$102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0-7CF3-44B4-905A-B1A21551140A}"/>
            </c:ext>
          </c:extLst>
        </c:ser>
        <c:ser>
          <c:idx val="1"/>
          <c:order val="1"/>
          <c:tx>
            <c:strRef>
              <c:f>'Calculation Values'!$T$6</c:f>
              <c:strCache>
                <c:ptCount val="1"/>
              </c:strCache>
            </c:strRef>
          </c:tx>
          <c:spPr>
            <a:solidFill>
              <a:srgbClr val="F4A259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Values'!$T$7:$T$102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1-7CF3-44B4-905A-B1A21551140A}"/>
            </c:ext>
          </c:extLst>
        </c:ser>
        <c:ser>
          <c:idx val="2"/>
          <c:order val="2"/>
          <c:tx>
            <c:strRef>
              <c:f>'Calculation Values'!$U$6</c:f>
              <c:strCache>
                <c:ptCount val="1"/>
              </c:strCache>
            </c:strRef>
          </c:tx>
          <c:spPr>
            <a:solidFill>
              <a:srgbClr val="F4E285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Values'!$U$7:$U$102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2-7CF3-44B4-905A-B1A21551140A}"/>
            </c:ext>
          </c:extLst>
        </c:ser>
        <c:ser>
          <c:idx val="3"/>
          <c:order val="3"/>
          <c:tx>
            <c:strRef>
              <c:f>'Calculation Values'!$V$6</c:f>
              <c:strCache>
                <c:ptCount val="1"/>
              </c:strCache>
            </c:strRef>
          </c:tx>
          <c:spPr>
            <a:solidFill>
              <a:srgbClr val="8CB369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Values'!$V$7:$V$102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3-7CF3-44B4-905A-B1A21551140A}"/>
            </c:ext>
          </c:extLst>
        </c:ser>
        <c:ser>
          <c:idx val="4"/>
          <c:order val="4"/>
          <c:tx>
            <c:strRef>
              <c:f>'Calculation Values'!$W$6</c:f>
              <c:strCache>
                <c:ptCount val="1"/>
              </c:strCache>
            </c:strRef>
          </c:tx>
          <c:spPr>
            <a:solidFill>
              <a:srgbClr val="8CB369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Values'!$W$7:$W$102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4-7CF3-44B4-905A-B1A21551140A}"/>
            </c:ext>
          </c:extLst>
        </c:ser>
        <c:ser>
          <c:idx val="5"/>
          <c:order val="5"/>
          <c:tx>
            <c:strRef>
              <c:f>'Calculation Values'!$X$6</c:f>
              <c:strCache>
                <c:ptCount val="1"/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Values'!$X$7:$X$102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5-7CF3-44B4-905A-B1A21551140A}"/>
            </c:ext>
          </c:extLst>
        </c:ser>
        <c:ser>
          <c:idx val="6"/>
          <c:order val="6"/>
          <c:tx>
            <c:strRef>
              <c:f>'Calculation Values'!$Y$6</c:f>
              <c:strCache>
                <c:ptCount val="1"/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Values'!$Y$7:$Y$102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6-7CF3-44B4-905A-B1A21551140A}"/>
            </c:ext>
          </c:extLst>
        </c:ser>
        <c:ser>
          <c:idx val="7"/>
          <c:order val="7"/>
          <c:tx>
            <c:strRef>
              <c:f>'Calculation Values'!$Z$6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Values'!$Z$7:$Z$102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7-7CF3-44B4-905A-B1A21551140A}"/>
            </c:ext>
          </c:extLst>
        </c:ser>
        <c:ser>
          <c:idx val="8"/>
          <c:order val="8"/>
          <c:tx>
            <c:strRef>
              <c:f>'Calculation Values'!$AA$6</c:f>
              <c:strCache>
                <c:ptCount val="1"/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Values'!$AA$7:$AA$102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8-7CF3-44B4-905A-B1A21551140A}"/>
            </c:ext>
          </c:extLst>
        </c:ser>
        <c:ser>
          <c:idx val="9"/>
          <c:order val="9"/>
          <c:tx>
            <c:strRef>
              <c:f>'Calculation Values'!$AB$6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Values'!$AB$7:$AB$102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9-7CF3-44B4-905A-B1A21551140A}"/>
            </c:ext>
          </c:extLst>
        </c:ser>
        <c:ser>
          <c:idx val="10"/>
          <c:order val="10"/>
          <c:tx>
            <c:strRef>
              <c:f>'Calculation Values'!$AC$6</c:f>
              <c:strCache>
                <c:ptCount val="1"/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Values'!$AC$7:$AC$102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A-7CF3-44B4-905A-B1A21551140A}"/>
            </c:ext>
          </c:extLst>
        </c:ser>
        <c:ser>
          <c:idx val="11"/>
          <c:order val="11"/>
          <c:tx>
            <c:strRef>
              <c:f>'Calculation Values'!$AD$6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Values'!$AD$7:$AD$102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B-7CF3-44B4-905A-B1A21551140A}"/>
            </c:ext>
          </c:extLst>
        </c:ser>
        <c:ser>
          <c:idx val="12"/>
          <c:order val="12"/>
          <c:tx>
            <c:strRef>
              <c:f>'Calculation Values'!$AE$6</c:f>
              <c:strCache>
                <c:ptCount val="1"/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Values'!$AE$7:$AE$102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C-7CF3-44B4-905A-B1A21551140A}"/>
            </c:ext>
          </c:extLst>
        </c:ser>
        <c:ser>
          <c:idx val="13"/>
          <c:order val="13"/>
          <c:tx>
            <c:strRef>
              <c:f>'Calculation Values'!$AF$6</c:f>
              <c:strCache>
                <c:ptCount val="1"/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Values'!$AF$7:$AF$102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D-7CF3-44B4-905A-B1A21551140A}"/>
            </c:ext>
          </c:extLst>
        </c:ser>
        <c:ser>
          <c:idx val="14"/>
          <c:order val="14"/>
          <c:tx>
            <c:strRef>
              <c:f>'Calculation Values'!$AG$6</c:f>
              <c:strCache>
                <c:ptCount val="1"/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Values'!$AG$7:$AG$102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E-7CF3-44B4-905A-B1A21551140A}"/>
            </c:ext>
          </c:extLst>
        </c:ser>
        <c:ser>
          <c:idx val="15"/>
          <c:order val="15"/>
          <c:tx>
            <c:strRef>
              <c:f>'Calculation Values'!$AH$6</c:f>
              <c:strCache>
                <c:ptCount val="1"/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Values'!$AH$7:$AH$102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F-7CF3-44B4-905A-B1A21551140A}"/>
            </c:ext>
          </c:extLst>
        </c:ser>
        <c:ser>
          <c:idx val="16"/>
          <c:order val="16"/>
          <c:tx>
            <c:strRef>
              <c:f>'Calculation Values'!$AI$6</c:f>
              <c:strCache>
                <c:ptCount val="1"/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Values'!$AI$7:$AI$102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0-7CF3-44B4-905A-B1A21551140A}"/>
            </c:ext>
          </c:extLst>
        </c:ser>
        <c:ser>
          <c:idx val="17"/>
          <c:order val="17"/>
          <c:tx>
            <c:strRef>
              <c:f>'Calculation Values'!$AJ$6</c:f>
              <c:strCache>
                <c:ptCount val="1"/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Values'!$AJ$7:$AJ$102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1-7CF3-44B4-905A-B1A21551140A}"/>
            </c:ext>
          </c:extLst>
        </c:ser>
        <c:ser>
          <c:idx val="18"/>
          <c:order val="18"/>
          <c:tx>
            <c:strRef>
              <c:f>'Calculation Values'!$AK$6</c:f>
              <c:strCache>
                <c:ptCount val="1"/>
              </c:strCache>
            </c:strRef>
          </c:tx>
          <c:spPr>
            <a:solidFill>
              <a:schemeClr val="accent1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Values'!$AK$7:$AK$102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2-7CF3-44B4-905A-B1A21551140A}"/>
            </c:ext>
          </c:extLst>
        </c:ser>
        <c:ser>
          <c:idx val="19"/>
          <c:order val="19"/>
          <c:tx>
            <c:strRef>
              <c:f>'Calculation Values'!$AL$6</c:f>
              <c:strCache>
                <c:ptCount val="1"/>
              </c:strCache>
            </c:strRef>
          </c:tx>
          <c:spPr>
            <a:solidFill>
              <a:schemeClr val="accent2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Values'!$AL$7:$AL$102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3-7CF3-44B4-905A-B1A21551140A}"/>
            </c:ext>
          </c:extLst>
        </c:ser>
        <c:ser>
          <c:idx val="20"/>
          <c:order val="20"/>
          <c:tx>
            <c:strRef>
              <c:f>'Calculation Values'!$AM$6</c:f>
              <c:strCache>
                <c:ptCount val="1"/>
              </c:strCache>
            </c:strRef>
          </c:tx>
          <c:spPr>
            <a:solidFill>
              <a:schemeClr val="accent3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Values'!$AM$7:$AM$102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4-7CF3-44B4-905A-B1A21551140A}"/>
            </c:ext>
          </c:extLst>
        </c:ser>
        <c:ser>
          <c:idx val="21"/>
          <c:order val="21"/>
          <c:tx>
            <c:strRef>
              <c:f>'Calculation Values'!$AN$6</c:f>
              <c:strCache>
                <c:ptCount val="1"/>
              </c:strCache>
            </c:strRef>
          </c:tx>
          <c:spPr>
            <a:solidFill>
              <a:schemeClr val="accent4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Values'!$AN$7:$AN$102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5-7CF3-44B4-905A-B1A21551140A}"/>
            </c:ext>
          </c:extLst>
        </c:ser>
        <c:ser>
          <c:idx val="22"/>
          <c:order val="22"/>
          <c:tx>
            <c:strRef>
              <c:f>'Calculation Values'!$AO$6</c:f>
              <c:strCache>
                <c:ptCount val="1"/>
              </c:strCache>
            </c:strRef>
          </c:tx>
          <c:spPr>
            <a:solidFill>
              <a:schemeClr val="accent5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Values'!$AO$7:$AO$102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6-7CF3-44B4-905A-B1A21551140A}"/>
            </c:ext>
          </c:extLst>
        </c:ser>
        <c:ser>
          <c:idx val="23"/>
          <c:order val="23"/>
          <c:tx>
            <c:strRef>
              <c:f>'Calculation Values'!$AP$6</c:f>
              <c:strCache>
                <c:ptCount val="1"/>
              </c:strCache>
            </c:strRef>
          </c:tx>
          <c:spPr>
            <a:solidFill>
              <a:schemeClr val="accent6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Values'!$AP$7:$AP$102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7-7CF3-44B4-905A-B1A21551140A}"/>
            </c:ext>
          </c:extLst>
        </c:ser>
        <c:ser>
          <c:idx val="24"/>
          <c:order val="24"/>
          <c:tx>
            <c:strRef>
              <c:f>'Calculation Values'!$AQ$6</c:f>
              <c:strCache>
                <c:ptCount val="1"/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Values'!$AQ$7:$AQ$102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8-7CF3-44B4-905A-B1A21551140A}"/>
            </c:ext>
          </c:extLst>
        </c:ser>
        <c:ser>
          <c:idx val="25"/>
          <c:order val="25"/>
          <c:tx>
            <c:strRef>
              <c:f>'Calculation Values'!$AR$6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Values'!$AR$7:$AR$102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9-7CF3-44B4-905A-B1A21551140A}"/>
            </c:ext>
          </c:extLst>
        </c:ser>
        <c:ser>
          <c:idx val="26"/>
          <c:order val="26"/>
          <c:tx>
            <c:strRef>
              <c:f>'Calculation Values'!$AS$6</c:f>
              <c:strCache>
                <c:ptCount val="1"/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Values'!$AS$7:$AS$102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A-7CF3-44B4-905A-B1A21551140A}"/>
            </c:ext>
          </c:extLst>
        </c:ser>
        <c:ser>
          <c:idx val="27"/>
          <c:order val="27"/>
          <c:tx>
            <c:strRef>
              <c:f>'Calculation Values'!$AT$6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Values'!$AT$7:$AT$102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B-7CF3-44B4-905A-B1A21551140A}"/>
            </c:ext>
          </c:extLst>
        </c:ser>
        <c:ser>
          <c:idx val="28"/>
          <c:order val="28"/>
          <c:tx>
            <c:strRef>
              <c:f>'Calculation Values'!$AU$6</c:f>
              <c:strCache>
                <c:ptCount val="1"/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Values'!$AU$7:$AU$102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C-7CF3-44B4-905A-B1A21551140A}"/>
            </c:ext>
          </c:extLst>
        </c:ser>
        <c:ser>
          <c:idx val="29"/>
          <c:order val="29"/>
          <c:tx>
            <c:strRef>
              <c:f>'Calculation Values'!$AV$6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Values'!$AV$7:$AV$102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D-7CF3-44B4-905A-B1A21551140A}"/>
            </c:ext>
          </c:extLst>
        </c:ser>
        <c:ser>
          <c:idx val="30"/>
          <c:order val="30"/>
          <c:tx>
            <c:strRef>
              <c:f>'Calculation Values'!$AW$6</c:f>
              <c:strCache>
                <c:ptCount val="1"/>
              </c:strCache>
            </c:strRef>
          </c:tx>
          <c:spPr>
            <a:solidFill>
              <a:schemeClr val="accent1">
                <a:lumMod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Values'!$AW$7:$AW$102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E-7CF3-44B4-905A-B1A21551140A}"/>
            </c:ext>
          </c:extLst>
        </c:ser>
        <c:ser>
          <c:idx val="31"/>
          <c:order val="31"/>
          <c:tx>
            <c:strRef>
              <c:f>'Calculation Values'!$AX$6</c:f>
              <c:strCache>
                <c:ptCount val="1"/>
              </c:strCache>
            </c:strRef>
          </c:tx>
          <c:spPr>
            <a:solidFill>
              <a:schemeClr val="accent2">
                <a:lumMod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Values'!$AX$7:$AX$102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F-7CF3-44B4-905A-B1A21551140A}"/>
            </c:ext>
          </c:extLst>
        </c:ser>
        <c:ser>
          <c:idx val="32"/>
          <c:order val="32"/>
          <c:tx>
            <c:strRef>
              <c:f>'Calculation Values'!$AY$6</c:f>
              <c:strCache>
                <c:ptCount val="1"/>
              </c:strCache>
            </c:strRef>
          </c:tx>
          <c:spPr>
            <a:solidFill>
              <a:schemeClr val="accent3">
                <a:lumMod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Values'!$AY$7:$AY$102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0-7CF3-44B4-905A-B1A21551140A}"/>
            </c:ext>
          </c:extLst>
        </c:ser>
        <c:ser>
          <c:idx val="33"/>
          <c:order val="33"/>
          <c:tx>
            <c:strRef>
              <c:f>'Calculation Values'!$AZ$6</c:f>
              <c:strCache>
                <c:ptCount val="1"/>
              </c:strCache>
            </c:strRef>
          </c:tx>
          <c:spPr>
            <a:solidFill>
              <a:schemeClr val="accent4">
                <a:lumMod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Values'!$AZ$7:$AZ$102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1-7CF3-44B4-905A-B1A21551140A}"/>
            </c:ext>
          </c:extLst>
        </c:ser>
        <c:ser>
          <c:idx val="34"/>
          <c:order val="34"/>
          <c:tx>
            <c:strRef>
              <c:f>'Calculation Values'!$BA$6</c:f>
              <c:strCache>
                <c:ptCount val="1"/>
              </c:strCache>
            </c:strRef>
          </c:tx>
          <c:spPr>
            <a:solidFill>
              <a:schemeClr val="accent5">
                <a:lumMod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Values'!$BA$7:$BA$102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2-7CF3-44B4-905A-B1A21551140A}"/>
            </c:ext>
          </c:extLst>
        </c:ser>
        <c:ser>
          <c:idx val="35"/>
          <c:order val="35"/>
          <c:tx>
            <c:strRef>
              <c:f>'Calculation Values'!$BB$6</c:f>
              <c:strCache>
                <c:ptCount val="1"/>
              </c:strCache>
            </c:strRef>
          </c:tx>
          <c:spPr>
            <a:solidFill>
              <a:schemeClr val="accent6">
                <a:lumMod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Values'!$BB$7:$BB$102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3-7CF3-44B4-905A-B1A21551140A}"/>
            </c:ext>
          </c:extLst>
        </c:ser>
        <c:ser>
          <c:idx val="36"/>
          <c:order val="36"/>
          <c:tx>
            <c:strRef>
              <c:f>'Calculation Values'!$BC$6</c:f>
              <c:strCache>
                <c:ptCount val="1"/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Values'!$BC$7:$BC$102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4-7CF3-44B4-905A-B1A21551140A}"/>
            </c:ext>
          </c:extLst>
        </c:ser>
        <c:ser>
          <c:idx val="37"/>
          <c:order val="37"/>
          <c:tx>
            <c:strRef>
              <c:f>'Calculation Values'!$BD$6</c:f>
              <c:strCache>
                <c:ptCount val="1"/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Values'!$BD$7:$BD$102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5-7CF3-44B4-905A-B1A21551140A}"/>
            </c:ext>
          </c:extLst>
        </c:ser>
        <c:ser>
          <c:idx val="38"/>
          <c:order val="38"/>
          <c:tx>
            <c:strRef>
              <c:f>'Calculation Values'!$BE$6</c:f>
              <c:strCache>
                <c:ptCount val="1"/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Values'!$BE$7:$BE$102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6-7CF3-44B4-905A-B1A21551140A}"/>
            </c:ext>
          </c:extLst>
        </c:ser>
        <c:ser>
          <c:idx val="39"/>
          <c:order val="39"/>
          <c:tx>
            <c:strRef>
              <c:f>'Calculation Values'!$BF$6</c:f>
              <c:strCache>
                <c:ptCount val="1"/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Values'!$BF$7:$BF$102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7-7CF3-44B4-905A-B1A21551140A}"/>
            </c:ext>
          </c:extLst>
        </c:ser>
        <c:ser>
          <c:idx val="40"/>
          <c:order val="40"/>
          <c:tx>
            <c:strRef>
              <c:f>'Calculation Values'!$BG$6</c:f>
              <c:strCache>
                <c:ptCount val="1"/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Values'!$BG$7:$BG$102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8-7CF3-44B4-905A-B1A21551140A}"/>
            </c:ext>
          </c:extLst>
        </c:ser>
        <c:ser>
          <c:idx val="41"/>
          <c:order val="41"/>
          <c:tx>
            <c:strRef>
              <c:f>'Calculation Values'!$BH$6</c:f>
              <c:strCache>
                <c:ptCount val="1"/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Values'!$BH$7:$BH$102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9-7CF3-44B4-905A-B1A21551140A}"/>
            </c:ext>
          </c:extLst>
        </c:ser>
        <c:ser>
          <c:idx val="42"/>
          <c:order val="42"/>
          <c:tx>
            <c:strRef>
              <c:f>'Calculation Values'!$BI$6</c:f>
              <c:strCache>
                <c:ptCount val="1"/>
              </c:strCache>
            </c:strRef>
          </c:tx>
          <c:spPr>
            <a:solidFill>
              <a:schemeClr val="accent1">
                <a:lumMod val="7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Values'!$BI$7:$BI$102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A-7CF3-44B4-905A-B1A21551140A}"/>
            </c:ext>
          </c:extLst>
        </c:ser>
        <c:ser>
          <c:idx val="43"/>
          <c:order val="43"/>
          <c:tx>
            <c:strRef>
              <c:f>'Calculation Values'!$BJ$6</c:f>
              <c:strCache>
                <c:ptCount val="1"/>
              </c:strCache>
            </c:strRef>
          </c:tx>
          <c:spPr>
            <a:solidFill>
              <a:schemeClr val="accent2">
                <a:lumMod val="7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Values'!$BJ$7:$BJ$102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B-7CF3-44B4-905A-B1A21551140A}"/>
            </c:ext>
          </c:extLst>
        </c:ser>
        <c:ser>
          <c:idx val="44"/>
          <c:order val="44"/>
          <c:tx>
            <c:strRef>
              <c:f>'Calculation Values'!$BK$6</c:f>
              <c:strCache>
                <c:ptCount val="1"/>
              </c:strCache>
            </c:strRef>
          </c:tx>
          <c:spPr>
            <a:solidFill>
              <a:schemeClr val="accent3">
                <a:lumMod val="7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Values'!$BK$7:$BK$102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C-7CF3-44B4-905A-B1A21551140A}"/>
            </c:ext>
          </c:extLst>
        </c:ser>
        <c:ser>
          <c:idx val="45"/>
          <c:order val="45"/>
          <c:tx>
            <c:strRef>
              <c:f>'Calculation Values'!$BL$6</c:f>
              <c:strCache>
                <c:ptCount val="1"/>
              </c:strCache>
            </c:strRef>
          </c:tx>
          <c:spPr>
            <a:solidFill>
              <a:schemeClr val="accent4">
                <a:lumMod val="7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Values'!$BL$7:$BL$102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D-7CF3-44B4-905A-B1A21551140A}"/>
            </c:ext>
          </c:extLst>
        </c:ser>
        <c:ser>
          <c:idx val="46"/>
          <c:order val="46"/>
          <c:tx>
            <c:strRef>
              <c:f>'Calculation Values'!$BM$6</c:f>
              <c:strCache>
                <c:ptCount val="1"/>
              </c:strCache>
            </c:strRef>
          </c:tx>
          <c:spPr>
            <a:solidFill>
              <a:schemeClr val="accent5">
                <a:lumMod val="7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Values'!$BM$7:$BM$102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E-7CF3-44B4-905A-B1A21551140A}"/>
            </c:ext>
          </c:extLst>
        </c:ser>
        <c:ser>
          <c:idx val="47"/>
          <c:order val="47"/>
          <c:tx>
            <c:strRef>
              <c:f>'Calculation Values'!$BN$6</c:f>
              <c:strCache>
                <c:ptCount val="1"/>
              </c:strCache>
            </c:strRef>
          </c:tx>
          <c:spPr>
            <a:solidFill>
              <a:schemeClr val="accent6">
                <a:lumMod val="7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Values'!$BN$7:$BN$102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F-7CF3-44B4-905A-B1A21551140A}"/>
            </c:ext>
          </c:extLst>
        </c:ser>
        <c:ser>
          <c:idx val="48"/>
          <c:order val="48"/>
          <c:tx>
            <c:strRef>
              <c:f>'Calculation Values'!$BO$6</c:f>
              <c:strCache>
                <c:ptCount val="1"/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Values'!$BO$7:$BO$102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30-7CF3-44B4-905A-B1A21551140A}"/>
            </c:ext>
          </c:extLst>
        </c:ser>
        <c:ser>
          <c:idx val="49"/>
          <c:order val="49"/>
          <c:tx>
            <c:strRef>
              <c:f>'Calculation Values'!$BP$6</c:f>
              <c:strCache>
                <c:ptCount val="1"/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Values'!$BP$7:$BP$102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31-7CF3-44B4-905A-B1A21551140A}"/>
            </c:ext>
          </c:extLst>
        </c:ser>
        <c:ser>
          <c:idx val="50"/>
          <c:order val="50"/>
          <c:tx>
            <c:strRef>
              <c:f>'Calculation Values'!$BQ$6</c:f>
              <c:strCache>
                <c:ptCount val="1"/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Values'!$BQ$7:$BQ$102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32-7CF3-44B4-905A-B1A21551140A}"/>
            </c:ext>
          </c:extLst>
        </c:ser>
        <c:ser>
          <c:idx val="51"/>
          <c:order val="51"/>
          <c:tx>
            <c:strRef>
              <c:f>'Calculation Values'!$BR$6</c:f>
              <c:strCache>
                <c:ptCount val="1"/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Values'!$BR$7:$BR$102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33-7CF3-44B4-905A-B1A21551140A}"/>
            </c:ext>
          </c:extLst>
        </c:ser>
        <c:ser>
          <c:idx val="52"/>
          <c:order val="52"/>
          <c:tx>
            <c:strRef>
              <c:f>'Calculation Values'!$BS$6</c:f>
              <c:strCache>
                <c:ptCount val="1"/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Values'!$BS$7:$BS$102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34-7CF3-44B4-905A-B1A21551140A}"/>
            </c:ext>
          </c:extLst>
        </c:ser>
        <c:ser>
          <c:idx val="53"/>
          <c:order val="53"/>
          <c:tx>
            <c:strRef>
              <c:f>'Calculation Values'!$BT$6</c:f>
              <c:strCache>
                <c:ptCount val="1"/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Values'!$BT$7:$BT$102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35-7CF3-44B4-905A-B1A21551140A}"/>
            </c:ext>
          </c:extLst>
        </c:ser>
        <c:ser>
          <c:idx val="54"/>
          <c:order val="54"/>
          <c:tx>
            <c:strRef>
              <c:f>'Calculation Values'!$BU$6</c:f>
              <c:strCache>
                <c:ptCount val="1"/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Values'!$BU$7:$BU$102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36-7CF3-44B4-905A-B1A21551140A}"/>
            </c:ext>
          </c:extLst>
        </c:ser>
        <c:ser>
          <c:idx val="55"/>
          <c:order val="55"/>
          <c:tx>
            <c:strRef>
              <c:f>'Calculation Values'!$BV$6</c:f>
              <c:strCache>
                <c:ptCount val="1"/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Values'!$BV$7:$BV$102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37-7CF3-44B4-905A-B1A21551140A}"/>
            </c:ext>
          </c:extLst>
        </c:ser>
        <c:ser>
          <c:idx val="56"/>
          <c:order val="56"/>
          <c:tx>
            <c:strRef>
              <c:f>'Calculation Values'!$BW$6</c:f>
              <c:strCache>
                <c:ptCount val="1"/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Values'!$BW$7:$BW$102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38-7CF3-44B4-905A-B1A21551140A}"/>
            </c:ext>
          </c:extLst>
        </c:ser>
        <c:ser>
          <c:idx val="117"/>
          <c:order val="57"/>
          <c:tx>
            <c:v>Full Home Load Profile</c:v>
          </c:tx>
          <c:spPr>
            <a:solidFill>
              <a:srgbClr val="997300"/>
            </a:solidFill>
            <a:ln w="25400">
              <a:noFill/>
            </a:ln>
            <a:effectLst/>
          </c:spPr>
          <c:val>
            <c:numRef>
              <c:f>'Calculation Values'!#REF!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7CF3-44B4-905A-B1A215511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614736"/>
        <c:axId val="729612240"/>
      </c:areaChart>
      <c:scatterChart>
        <c:scatterStyle val="smoothMarker"/>
        <c:varyColors val="0"/>
        <c:ser>
          <c:idx val="57"/>
          <c:order val="58"/>
          <c:tx>
            <c:v>Total Power Capacity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BC-41CB-836A-0E898442D04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BC-41CB-836A-0E898442D0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'List Options'!$B$39:$B$41</c:f>
              <c:numCache>
                <c:formatCode>General</c:formatCode>
                <c:ptCount val="3"/>
                <c:pt idx="0">
                  <c:v>1</c:v>
                </c:pt>
                <c:pt idx="1">
                  <c:v>48</c:v>
                </c:pt>
                <c:pt idx="2">
                  <c:v>96</c:v>
                </c:pt>
              </c:numCache>
            </c:numRef>
          </c:xVal>
          <c:yVal>
            <c:numRef>
              <c:f>('Calculation Values'!$EF$7,'Calculation Values'!$EF$7,'Calculation Values'!$EF$7)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7CF3-44B4-905A-B1A21551140A}"/>
            </c:ext>
          </c:extLst>
        </c:ser>
        <c:ser>
          <c:idx val="58"/>
          <c:order val="59"/>
          <c:tx>
            <c:v>Total Surge Power Capacity</c:v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CBC-41CB-836A-0E898442D0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'List Options'!$B$39:$B$41</c:f>
              <c:numCache>
                <c:formatCode>General</c:formatCode>
                <c:ptCount val="3"/>
                <c:pt idx="0">
                  <c:v>1</c:v>
                </c:pt>
                <c:pt idx="1">
                  <c:v>48</c:v>
                </c:pt>
                <c:pt idx="2">
                  <c:v>96</c:v>
                </c:pt>
              </c:numCache>
            </c:numRef>
          </c:xVal>
          <c:yVal>
            <c:numRef>
              <c:f>('Calculation Values'!$EG$7,'Calculation Values'!$EG$7,'Calculation Values'!$EG$7)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7CF3-44B4-905A-B1A215511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614736"/>
        <c:axId val="729612240"/>
      </c:scatterChart>
      <c:scatterChart>
        <c:scatterStyle val="lineMarker"/>
        <c:varyColors val="0"/>
        <c:ser>
          <c:idx val="59"/>
          <c:order val="60"/>
          <c:tx>
            <c:v>Peak 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yVal>
            <c:numRef>
              <c:f>'Calculation Values'!$EH$7:$EH$102</c:f>
              <c:numCache>
                <c:formatCode>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7CF3-44B4-905A-B1A215511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614736"/>
        <c:axId val="729612240"/>
      </c:scatterChart>
      <c:catAx>
        <c:axId val="72961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Time of 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2240"/>
        <c:crosses val="autoZero"/>
        <c:auto val="1"/>
        <c:lblAlgn val="ctr"/>
        <c:lblOffset val="100"/>
        <c:noMultiLvlLbl val="1"/>
      </c:catAx>
      <c:valAx>
        <c:axId val="72961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Watts [W]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Home electricity</a:t>
            </a:r>
            <a:r>
              <a:rPr lang="en-US" baseline="0"/>
              <a:t> consumed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'Calculation Values'!$S$6</c:f>
              <c:strCache>
                <c:ptCount val="1"/>
              </c:strCache>
            </c:strRef>
          </c:tx>
          <c:spPr>
            <a:solidFill>
              <a:srgbClr val="5B8E7D"/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Values'!$S$3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A1-4D82-BFA2-6396781E1541}"/>
            </c:ext>
          </c:extLst>
        </c:ser>
        <c:ser>
          <c:idx val="1"/>
          <c:order val="1"/>
          <c:tx>
            <c:strRef>
              <c:f>'Calculation Values'!$T$6</c:f>
              <c:strCache>
                <c:ptCount val="1"/>
              </c:strCache>
            </c:strRef>
          </c:tx>
          <c:spPr>
            <a:solidFill>
              <a:srgbClr val="F4A259"/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Values'!$T$3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A1-4D82-BFA2-6396781E1541}"/>
            </c:ext>
          </c:extLst>
        </c:ser>
        <c:ser>
          <c:idx val="2"/>
          <c:order val="2"/>
          <c:tx>
            <c:strRef>
              <c:f>'Calculation Values'!$U$6</c:f>
              <c:strCache>
                <c:ptCount val="1"/>
              </c:strCache>
            </c:strRef>
          </c:tx>
          <c:spPr>
            <a:solidFill>
              <a:srgbClr val="F4E285"/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Values'!$U$3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A1-4D82-BFA2-6396781E1541}"/>
            </c:ext>
          </c:extLst>
        </c:ser>
        <c:ser>
          <c:idx val="3"/>
          <c:order val="3"/>
          <c:tx>
            <c:strRef>
              <c:f>'Calculation Values'!$V$6</c:f>
              <c:strCache>
                <c:ptCount val="1"/>
              </c:strCache>
            </c:strRef>
          </c:tx>
          <c:spPr>
            <a:solidFill>
              <a:srgbClr val="8CB369"/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Values'!$V$3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A1-4D82-BFA2-6396781E1541}"/>
            </c:ext>
          </c:extLst>
        </c:ser>
        <c:ser>
          <c:idx val="4"/>
          <c:order val="4"/>
          <c:tx>
            <c:strRef>
              <c:f>'Calculation Values'!$W$6</c:f>
              <c:strCache>
                <c:ptCount val="1"/>
              </c:strCache>
            </c:strRef>
          </c:tx>
          <c:spPr>
            <a:solidFill>
              <a:srgbClr val="8CB369"/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Values'!$W$3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A1-4D82-BFA2-6396781E1541}"/>
            </c:ext>
          </c:extLst>
        </c:ser>
        <c:ser>
          <c:idx val="5"/>
          <c:order val="5"/>
          <c:tx>
            <c:strRef>
              <c:f>'Calculation Values'!$X$6</c:f>
              <c:strCache>
                <c:ptCount val="1"/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Values'!$X$3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A1-4D82-BFA2-6396781E1541}"/>
            </c:ext>
          </c:extLst>
        </c:ser>
        <c:ser>
          <c:idx val="6"/>
          <c:order val="6"/>
          <c:tx>
            <c:strRef>
              <c:f>'Calculation Values'!$Y$6</c:f>
              <c:strCache>
                <c:ptCount val="1"/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Values'!$Y$3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11A1-4D82-BFA2-6396781E1541}"/>
            </c:ext>
          </c:extLst>
        </c:ser>
        <c:ser>
          <c:idx val="7"/>
          <c:order val="7"/>
          <c:tx>
            <c:strRef>
              <c:f>'Calculation Values'!$Z$6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Values'!$Z$3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A1-4D82-BFA2-6396781E1541}"/>
            </c:ext>
          </c:extLst>
        </c:ser>
        <c:ser>
          <c:idx val="8"/>
          <c:order val="8"/>
          <c:tx>
            <c:strRef>
              <c:f>'Calculation Values'!$AA$6</c:f>
              <c:strCache>
                <c:ptCount val="1"/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Values'!$AA$3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1A1-4D82-BFA2-6396781E1541}"/>
            </c:ext>
          </c:extLst>
        </c:ser>
        <c:ser>
          <c:idx val="9"/>
          <c:order val="9"/>
          <c:tx>
            <c:strRef>
              <c:f>'Calculation Values'!$AB$6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Values'!$AB$3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1A1-4D82-BFA2-6396781E1541}"/>
            </c:ext>
          </c:extLst>
        </c:ser>
        <c:ser>
          <c:idx val="10"/>
          <c:order val="10"/>
          <c:tx>
            <c:strRef>
              <c:f>'Calculation Values'!$AC$6</c:f>
              <c:strCache>
                <c:ptCount val="1"/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Values'!$AC$3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1A1-4D82-BFA2-6396781E1541}"/>
            </c:ext>
          </c:extLst>
        </c:ser>
        <c:ser>
          <c:idx val="11"/>
          <c:order val="11"/>
          <c:tx>
            <c:strRef>
              <c:f>'Calculation Values'!$AD$6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Values'!$AD$3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1A1-4D82-BFA2-6396781E1541}"/>
            </c:ext>
          </c:extLst>
        </c:ser>
        <c:ser>
          <c:idx val="12"/>
          <c:order val="12"/>
          <c:tx>
            <c:strRef>
              <c:f>'Calculation Values'!$AE$6</c:f>
              <c:strCache>
                <c:ptCount val="1"/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Values'!$AE$3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1A1-4D82-BFA2-6396781E1541}"/>
            </c:ext>
          </c:extLst>
        </c:ser>
        <c:ser>
          <c:idx val="13"/>
          <c:order val="13"/>
          <c:tx>
            <c:strRef>
              <c:f>'Calculation Values'!$AF$6</c:f>
              <c:strCache>
                <c:ptCount val="1"/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Values'!$AF$3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1A1-4D82-BFA2-6396781E1541}"/>
            </c:ext>
          </c:extLst>
        </c:ser>
        <c:ser>
          <c:idx val="14"/>
          <c:order val="14"/>
          <c:tx>
            <c:strRef>
              <c:f>'Calculation Values'!$AG$6</c:f>
              <c:strCache>
                <c:ptCount val="1"/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Values'!$AG$3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1A1-4D82-BFA2-6396781E1541}"/>
            </c:ext>
          </c:extLst>
        </c:ser>
        <c:ser>
          <c:idx val="15"/>
          <c:order val="15"/>
          <c:tx>
            <c:strRef>
              <c:f>'Calculation Values'!$AH$6</c:f>
              <c:strCache>
                <c:ptCount val="1"/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Values'!$AH$3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1A1-4D82-BFA2-6396781E1541}"/>
            </c:ext>
          </c:extLst>
        </c:ser>
        <c:ser>
          <c:idx val="16"/>
          <c:order val="16"/>
          <c:tx>
            <c:strRef>
              <c:f>'Calculation Values'!$AI$6</c:f>
              <c:strCache>
                <c:ptCount val="1"/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Values'!$AI$3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1A1-4D82-BFA2-6396781E1541}"/>
            </c:ext>
          </c:extLst>
        </c:ser>
        <c:ser>
          <c:idx val="17"/>
          <c:order val="17"/>
          <c:tx>
            <c:strRef>
              <c:f>'Calculation Values'!$AJ$6</c:f>
              <c:strCache>
                <c:ptCount val="1"/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Values'!$AJ$3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1A1-4D82-BFA2-6396781E1541}"/>
            </c:ext>
          </c:extLst>
        </c:ser>
        <c:ser>
          <c:idx val="18"/>
          <c:order val="18"/>
          <c:tx>
            <c:strRef>
              <c:f>'Calculation Values'!$AK$6</c:f>
              <c:strCache>
                <c:ptCount val="1"/>
              </c:strCache>
            </c:strRef>
          </c:tx>
          <c:spPr>
            <a:solidFill>
              <a:schemeClr val="accent1">
                <a:lumMod val="8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Values'!$AK$3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1A1-4D82-BFA2-6396781E1541}"/>
            </c:ext>
          </c:extLst>
        </c:ser>
        <c:ser>
          <c:idx val="19"/>
          <c:order val="19"/>
          <c:tx>
            <c:strRef>
              <c:f>'Calculation Values'!$AL$6</c:f>
              <c:strCache>
                <c:ptCount val="1"/>
              </c:strCache>
            </c:strRef>
          </c:tx>
          <c:spPr>
            <a:solidFill>
              <a:schemeClr val="accent2">
                <a:lumMod val="8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Values'!$AL$3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1A1-4D82-BFA2-6396781E1541}"/>
            </c:ext>
          </c:extLst>
        </c:ser>
        <c:ser>
          <c:idx val="20"/>
          <c:order val="20"/>
          <c:tx>
            <c:strRef>
              <c:f>'Calculation Values'!$AM$6</c:f>
              <c:strCache>
                <c:ptCount val="1"/>
              </c:strCache>
            </c:strRef>
          </c:tx>
          <c:spPr>
            <a:solidFill>
              <a:schemeClr val="accent3">
                <a:lumMod val="8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Values'!$AM$3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1A1-4D82-BFA2-6396781E1541}"/>
            </c:ext>
          </c:extLst>
        </c:ser>
        <c:ser>
          <c:idx val="21"/>
          <c:order val="21"/>
          <c:tx>
            <c:strRef>
              <c:f>'Calculation Values'!$AN$6</c:f>
              <c:strCache>
                <c:ptCount val="1"/>
              </c:strCache>
            </c:strRef>
          </c:tx>
          <c:spPr>
            <a:solidFill>
              <a:schemeClr val="accent4">
                <a:lumMod val="8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Values'!$AN$3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1A1-4D82-BFA2-6396781E1541}"/>
            </c:ext>
          </c:extLst>
        </c:ser>
        <c:ser>
          <c:idx val="22"/>
          <c:order val="22"/>
          <c:tx>
            <c:strRef>
              <c:f>'Calculation Values'!$AO$6</c:f>
              <c:strCache>
                <c:ptCount val="1"/>
              </c:strCache>
            </c:strRef>
          </c:tx>
          <c:spPr>
            <a:solidFill>
              <a:schemeClr val="accent5">
                <a:lumMod val="8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Values'!$AO$3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1A1-4D82-BFA2-6396781E1541}"/>
            </c:ext>
          </c:extLst>
        </c:ser>
        <c:ser>
          <c:idx val="23"/>
          <c:order val="23"/>
          <c:tx>
            <c:strRef>
              <c:f>'Calculation Values'!$AP$6</c:f>
              <c:strCache>
                <c:ptCount val="1"/>
              </c:strCache>
            </c:strRef>
          </c:tx>
          <c:spPr>
            <a:solidFill>
              <a:schemeClr val="accent6">
                <a:lumMod val="8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Values'!$AP$3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1A1-4D82-BFA2-6396781E1541}"/>
            </c:ext>
          </c:extLst>
        </c:ser>
        <c:ser>
          <c:idx val="24"/>
          <c:order val="24"/>
          <c:tx>
            <c:strRef>
              <c:f>'Calculation Values'!$AQ$6</c:f>
              <c:strCache>
                <c:ptCount val="1"/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Values'!$AQ$3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1A1-4D82-BFA2-6396781E1541}"/>
            </c:ext>
          </c:extLst>
        </c:ser>
        <c:ser>
          <c:idx val="25"/>
          <c:order val="25"/>
          <c:tx>
            <c:strRef>
              <c:f>'Calculation Values'!$AR$6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Values'!$AR$3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1A1-4D82-BFA2-6396781E1541}"/>
            </c:ext>
          </c:extLst>
        </c:ser>
        <c:ser>
          <c:idx val="26"/>
          <c:order val="26"/>
          <c:tx>
            <c:strRef>
              <c:f>'Calculation Values'!$AS$6</c:f>
              <c:strCache>
                <c:ptCount val="1"/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Values'!$AS$3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1A1-4D82-BFA2-6396781E1541}"/>
            </c:ext>
          </c:extLst>
        </c:ser>
        <c:ser>
          <c:idx val="27"/>
          <c:order val="27"/>
          <c:tx>
            <c:strRef>
              <c:f>'Calculation Values'!$AT$6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Values'!$AT$3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1A1-4D82-BFA2-6396781E1541}"/>
            </c:ext>
          </c:extLst>
        </c:ser>
        <c:ser>
          <c:idx val="28"/>
          <c:order val="28"/>
          <c:tx>
            <c:strRef>
              <c:f>'Calculation Values'!$AU$6</c:f>
              <c:strCache>
                <c:ptCount val="1"/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Values'!$AU$3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1A1-4D82-BFA2-6396781E1541}"/>
            </c:ext>
          </c:extLst>
        </c:ser>
        <c:ser>
          <c:idx val="29"/>
          <c:order val="29"/>
          <c:tx>
            <c:strRef>
              <c:f>'Calculation Values'!$AV$6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Values'!$AV$3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11A1-4D82-BFA2-6396781E1541}"/>
            </c:ext>
          </c:extLst>
        </c:ser>
        <c:ser>
          <c:idx val="30"/>
          <c:order val="30"/>
          <c:tx>
            <c:strRef>
              <c:f>'Calculation Values'!$AW$6</c:f>
              <c:strCache>
                <c:ptCount val="1"/>
              </c:strCache>
            </c:strRef>
          </c:tx>
          <c:spPr>
            <a:solidFill>
              <a:schemeClr val="accent1">
                <a:lumMod val="5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Values'!$AW$3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1A1-4D82-BFA2-6396781E1541}"/>
            </c:ext>
          </c:extLst>
        </c:ser>
        <c:ser>
          <c:idx val="31"/>
          <c:order val="31"/>
          <c:tx>
            <c:strRef>
              <c:f>'Calculation Values'!$AX$6</c:f>
              <c:strCache>
                <c:ptCount val="1"/>
              </c:strCache>
            </c:strRef>
          </c:tx>
          <c:spPr>
            <a:solidFill>
              <a:schemeClr val="accent2">
                <a:lumMod val="5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Values'!$AX$3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11A1-4D82-BFA2-6396781E1541}"/>
            </c:ext>
          </c:extLst>
        </c:ser>
        <c:ser>
          <c:idx val="32"/>
          <c:order val="32"/>
          <c:tx>
            <c:strRef>
              <c:f>'Calculation Values'!$AY$6</c:f>
              <c:strCache>
                <c:ptCount val="1"/>
              </c:strCache>
            </c:strRef>
          </c:tx>
          <c:spPr>
            <a:solidFill>
              <a:schemeClr val="accent3">
                <a:lumMod val="5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Values'!$AY$3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11A1-4D82-BFA2-6396781E1541}"/>
            </c:ext>
          </c:extLst>
        </c:ser>
        <c:ser>
          <c:idx val="33"/>
          <c:order val="33"/>
          <c:tx>
            <c:strRef>
              <c:f>'Calculation Values'!$AZ$6</c:f>
              <c:strCache>
                <c:ptCount val="1"/>
              </c:strCache>
            </c:strRef>
          </c:tx>
          <c:spPr>
            <a:solidFill>
              <a:schemeClr val="accent4">
                <a:lumMod val="5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Values'!$AZ$3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11A1-4D82-BFA2-6396781E1541}"/>
            </c:ext>
          </c:extLst>
        </c:ser>
        <c:ser>
          <c:idx val="34"/>
          <c:order val="34"/>
          <c:tx>
            <c:strRef>
              <c:f>'Calculation Values'!$BA$6</c:f>
              <c:strCache>
                <c:ptCount val="1"/>
              </c:strCache>
            </c:strRef>
          </c:tx>
          <c:spPr>
            <a:solidFill>
              <a:schemeClr val="accent5">
                <a:lumMod val="5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Values'!$BA$3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11A1-4D82-BFA2-6396781E1541}"/>
            </c:ext>
          </c:extLst>
        </c:ser>
        <c:ser>
          <c:idx val="35"/>
          <c:order val="35"/>
          <c:tx>
            <c:strRef>
              <c:f>'Calculation Values'!$BB$6</c:f>
              <c:strCache>
                <c:ptCount val="1"/>
              </c:strCache>
            </c:strRef>
          </c:tx>
          <c:spPr>
            <a:solidFill>
              <a:schemeClr val="accent6">
                <a:lumMod val="5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Values'!$BB$3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11A1-4D82-BFA2-6396781E1541}"/>
            </c:ext>
          </c:extLst>
        </c:ser>
        <c:ser>
          <c:idx val="36"/>
          <c:order val="36"/>
          <c:tx>
            <c:strRef>
              <c:f>'Calculation Values'!$BC$6</c:f>
              <c:strCache>
                <c:ptCount val="1"/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Values'!$BC$3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11A1-4D82-BFA2-6396781E1541}"/>
            </c:ext>
          </c:extLst>
        </c:ser>
        <c:ser>
          <c:idx val="37"/>
          <c:order val="37"/>
          <c:tx>
            <c:strRef>
              <c:f>'Calculation Values'!$BD$6</c:f>
              <c:strCache>
                <c:ptCount val="1"/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Values'!$BD$3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11A1-4D82-BFA2-6396781E1541}"/>
            </c:ext>
          </c:extLst>
        </c:ser>
        <c:ser>
          <c:idx val="38"/>
          <c:order val="38"/>
          <c:tx>
            <c:strRef>
              <c:f>'Calculation Values'!$BE$6</c:f>
              <c:strCache>
                <c:ptCount val="1"/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Values'!$BE$3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11A1-4D82-BFA2-6396781E1541}"/>
            </c:ext>
          </c:extLst>
        </c:ser>
        <c:ser>
          <c:idx val="39"/>
          <c:order val="39"/>
          <c:tx>
            <c:strRef>
              <c:f>'Calculation Values'!$BF$6</c:f>
              <c:strCache>
                <c:ptCount val="1"/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Values'!$BF$3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11A1-4D82-BFA2-6396781E1541}"/>
            </c:ext>
          </c:extLst>
        </c:ser>
        <c:ser>
          <c:idx val="40"/>
          <c:order val="40"/>
          <c:tx>
            <c:strRef>
              <c:f>'Calculation Values'!$BG$6</c:f>
              <c:strCache>
                <c:ptCount val="1"/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Values'!$BG$3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11A1-4D82-BFA2-6396781E1541}"/>
            </c:ext>
          </c:extLst>
        </c:ser>
        <c:ser>
          <c:idx val="41"/>
          <c:order val="41"/>
          <c:tx>
            <c:strRef>
              <c:f>'Calculation Values'!$BH$6</c:f>
              <c:strCache>
                <c:ptCount val="1"/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Values'!$BH$3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11A1-4D82-BFA2-6396781E1541}"/>
            </c:ext>
          </c:extLst>
        </c:ser>
        <c:ser>
          <c:idx val="42"/>
          <c:order val="42"/>
          <c:tx>
            <c:strRef>
              <c:f>'Calculation Values'!$BI$6</c:f>
              <c:strCache>
                <c:ptCount val="1"/>
              </c:strCache>
            </c:strRef>
          </c:tx>
          <c:spPr>
            <a:solidFill>
              <a:schemeClr val="accent1">
                <a:lumMod val="7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Values'!$BI$3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11A1-4D82-BFA2-6396781E1541}"/>
            </c:ext>
          </c:extLst>
        </c:ser>
        <c:ser>
          <c:idx val="43"/>
          <c:order val="43"/>
          <c:tx>
            <c:strRef>
              <c:f>'Calculation Values'!$BJ$6</c:f>
              <c:strCache>
                <c:ptCount val="1"/>
              </c:strCache>
            </c:strRef>
          </c:tx>
          <c:spPr>
            <a:solidFill>
              <a:schemeClr val="accent2">
                <a:lumMod val="7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Values'!$BJ$3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11A1-4D82-BFA2-6396781E1541}"/>
            </c:ext>
          </c:extLst>
        </c:ser>
        <c:ser>
          <c:idx val="44"/>
          <c:order val="44"/>
          <c:tx>
            <c:strRef>
              <c:f>'Calculation Values'!$BK$6</c:f>
              <c:strCache>
                <c:ptCount val="1"/>
              </c:strCache>
            </c:strRef>
          </c:tx>
          <c:spPr>
            <a:solidFill>
              <a:schemeClr val="accent3">
                <a:lumMod val="7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Values'!$BK$3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11A1-4D82-BFA2-6396781E1541}"/>
            </c:ext>
          </c:extLst>
        </c:ser>
        <c:ser>
          <c:idx val="45"/>
          <c:order val="45"/>
          <c:tx>
            <c:strRef>
              <c:f>'Calculation Values'!$BL$6</c:f>
              <c:strCache>
                <c:ptCount val="1"/>
              </c:strCache>
            </c:strRef>
          </c:tx>
          <c:spPr>
            <a:solidFill>
              <a:schemeClr val="accent4">
                <a:lumMod val="7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Values'!$BL$3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11A1-4D82-BFA2-6396781E1541}"/>
            </c:ext>
          </c:extLst>
        </c:ser>
        <c:ser>
          <c:idx val="46"/>
          <c:order val="46"/>
          <c:tx>
            <c:strRef>
              <c:f>'Calculation Values'!$BM$6</c:f>
              <c:strCache>
                <c:ptCount val="1"/>
              </c:strCache>
            </c:strRef>
          </c:tx>
          <c:spPr>
            <a:solidFill>
              <a:schemeClr val="accent5">
                <a:lumMod val="7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Values'!$BM$3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11A1-4D82-BFA2-6396781E1541}"/>
            </c:ext>
          </c:extLst>
        </c:ser>
        <c:ser>
          <c:idx val="47"/>
          <c:order val="47"/>
          <c:tx>
            <c:strRef>
              <c:f>'Calculation Values'!$BN$6</c:f>
              <c:strCache>
                <c:ptCount val="1"/>
              </c:strCache>
            </c:strRef>
          </c:tx>
          <c:spPr>
            <a:solidFill>
              <a:schemeClr val="accent6">
                <a:lumMod val="7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Values'!$BN$3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11A1-4D82-BFA2-6396781E1541}"/>
            </c:ext>
          </c:extLst>
        </c:ser>
        <c:ser>
          <c:idx val="48"/>
          <c:order val="48"/>
          <c:tx>
            <c:strRef>
              <c:f>'Calculation Values'!$BO$6</c:f>
              <c:strCache>
                <c:ptCount val="1"/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Values'!$BO$3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11A1-4D82-BFA2-6396781E1541}"/>
            </c:ext>
          </c:extLst>
        </c:ser>
        <c:ser>
          <c:idx val="49"/>
          <c:order val="49"/>
          <c:tx>
            <c:strRef>
              <c:f>'Calculation Values'!$BP$6</c:f>
              <c:strCache>
                <c:ptCount val="1"/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Values'!$BP$3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11A1-4D82-BFA2-6396781E1541}"/>
            </c:ext>
          </c:extLst>
        </c:ser>
        <c:ser>
          <c:idx val="50"/>
          <c:order val="50"/>
          <c:tx>
            <c:strRef>
              <c:f>'Calculation Values'!$BQ$6</c:f>
              <c:strCache>
                <c:ptCount val="1"/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Values'!$BQ$3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1A1-4D82-BFA2-6396781E1541}"/>
            </c:ext>
          </c:extLst>
        </c:ser>
        <c:ser>
          <c:idx val="51"/>
          <c:order val="51"/>
          <c:tx>
            <c:strRef>
              <c:f>'Calculation Values'!$BR$6</c:f>
              <c:strCache>
                <c:ptCount val="1"/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Values'!$BR$3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1A1-4D82-BFA2-6396781E1541}"/>
            </c:ext>
          </c:extLst>
        </c:ser>
        <c:ser>
          <c:idx val="52"/>
          <c:order val="52"/>
          <c:tx>
            <c:strRef>
              <c:f>'Calculation Values'!$BS$6</c:f>
              <c:strCache>
                <c:ptCount val="1"/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Values'!$BS$3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1A1-4D82-BFA2-6396781E1541}"/>
            </c:ext>
          </c:extLst>
        </c:ser>
        <c:ser>
          <c:idx val="53"/>
          <c:order val="53"/>
          <c:tx>
            <c:strRef>
              <c:f>'Calculation Values'!$BT$6</c:f>
              <c:strCache>
                <c:ptCount val="1"/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Values'!$BT$3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1A1-4D82-BFA2-6396781E1541}"/>
            </c:ext>
          </c:extLst>
        </c:ser>
        <c:ser>
          <c:idx val="54"/>
          <c:order val="54"/>
          <c:tx>
            <c:strRef>
              <c:f>'Calculation Values'!$BU$6</c:f>
              <c:strCache>
                <c:ptCount val="1"/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Values'!$BU$3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11A1-4D82-BFA2-6396781E1541}"/>
            </c:ext>
          </c:extLst>
        </c:ser>
        <c:ser>
          <c:idx val="55"/>
          <c:order val="55"/>
          <c:tx>
            <c:strRef>
              <c:f>'Calculation Values'!$BV$6</c:f>
              <c:strCache>
                <c:ptCount val="1"/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Values'!$BV$3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11A1-4D82-BFA2-6396781E1541}"/>
            </c:ext>
          </c:extLst>
        </c:ser>
        <c:ser>
          <c:idx val="56"/>
          <c:order val="56"/>
          <c:tx>
            <c:strRef>
              <c:f>'Calculation Values'!$BW$6</c:f>
              <c:strCache>
                <c:ptCount val="1"/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Values'!$BW$3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11A1-4D82-BFA2-6396781E1541}"/>
            </c:ext>
          </c:extLst>
        </c:ser>
        <c:ser>
          <c:idx val="57"/>
          <c:order val="57"/>
          <c:tx>
            <c:strRef>
              <c:f>'Calculation Values'!#REF!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997300"/>
            </a:solidFill>
            <a:ln>
              <a:noFill/>
            </a:ln>
            <a:effectLst/>
          </c:spPr>
          <c:invertIfNegative val="0"/>
          <c:val>
            <c:numRef>
              <c:f>'Calculation Values'!#REF!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11A1-4D82-BFA2-6396781E1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29614736"/>
        <c:axId val="729612240"/>
      </c:barChart>
      <c:catAx>
        <c:axId val="7296147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Home</a:t>
                </a:r>
                <a:r>
                  <a:rPr lang="en-US" sz="1200" baseline="0"/>
                  <a:t> loads</a:t>
                </a:r>
                <a:endParaRPr 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729612240"/>
        <c:crosses val="autoZero"/>
        <c:auto val="1"/>
        <c:lblAlgn val="ctr"/>
        <c:lblOffset val="100"/>
        <c:noMultiLvlLbl val="1"/>
      </c:catAx>
      <c:valAx>
        <c:axId val="72961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Energy</a:t>
                </a:r>
                <a:r>
                  <a:rPr lang="en-US" sz="1200" baseline="0"/>
                  <a:t> consumed</a:t>
                </a:r>
                <a:r>
                  <a:rPr lang="en-US" sz="1200"/>
                  <a:t> [Wh]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2910542432195976E-2"/>
          <c:y val="0.48462344424688847"/>
          <c:w val="0.94862335958005251"/>
          <c:h val="0.50865612564558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Electricity</a:t>
            </a:r>
            <a:r>
              <a:rPr lang="en-US" baseline="0"/>
              <a:t> discharge of backup sources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'Calculation Values'!$D$6</c:f>
              <c:strCache>
                <c:ptCount val="1"/>
                <c:pt idx="0">
                  <c:v>Battery Electric Vehicle</c:v>
                </c:pt>
              </c:strCache>
            </c:strRef>
          </c:tx>
          <c:spPr>
            <a:solidFill>
              <a:srgbClr val="9B2226"/>
            </a:solidFill>
            <a:ln>
              <a:noFill/>
            </a:ln>
            <a:effectLst/>
          </c:spPr>
          <c:invertIfNegative val="0"/>
          <c:val>
            <c:numRef>
              <c:f>'Calculation Values'!$D$3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F576-4140-A74F-7510A92E6D3E}"/>
            </c:ext>
          </c:extLst>
        </c:ser>
        <c:ser>
          <c:idx val="1"/>
          <c:order val="1"/>
          <c:tx>
            <c:strRef>
              <c:f>'Calculation Values'!$E$6</c:f>
              <c:strCache>
                <c:ptCount val="1"/>
                <c:pt idx="0">
                  <c:v>Plug-In Hybrid Electric Vehicle (Battery)</c:v>
                </c:pt>
              </c:strCache>
            </c:strRef>
          </c:tx>
          <c:spPr>
            <a:solidFill>
              <a:srgbClr val="0A9396"/>
            </a:solidFill>
            <a:ln>
              <a:noFill/>
            </a:ln>
            <a:effectLst/>
          </c:spPr>
          <c:invertIfNegative val="0"/>
          <c:val>
            <c:numRef>
              <c:f>'Calculation Values'!$E$3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F576-4140-A74F-7510A92E6D3E}"/>
            </c:ext>
          </c:extLst>
        </c:ser>
        <c:ser>
          <c:idx val="6"/>
          <c:order val="2"/>
          <c:tx>
            <c:strRef>
              <c:f>'Calculation Values'!$F$6</c:f>
              <c:strCache>
                <c:ptCount val="1"/>
                <c:pt idx="0">
                  <c:v>Plug-In Hybrid Electric Vehicle (Engine)</c:v>
                </c:pt>
              </c:strCache>
            </c:strRef>
          </c:tx>
          <c:spPr>
            <a:solidFill>
              <a:srgbClr val="005F73"/>
            </a:solidFill>
            <a:ln>
              <a:noFill/>
            </a:ln>
            <a:effectLst/>
          </c:spPr>
          <c:invertIfNegative val="0"/>
          <c:val>
            <c:numRef>
              <c:f>'Calculation Values'!$F$3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F4-4A6B-BD00-BD961B6C4FDB}"/>
            </c:ext>
          </c:extLst>
        </c:ser>
        <c:ser>
          <c:idx val="2"/>
          <c:order val="3"/>
          <c:tx>
            <c:strRef>
              <c:f>'Calculation Values'!$G$6</c:f>
              <c:strCache>
                <c:ptCount val="1"/>
                <c:pt idx="0">
                  <c:v>Behind-the-Meter Storage</c:v>
                </c:pt>
              </c:strCache>
            </c:strRef>
          </c:tx>
          <c:spPr>
            <a:solidFill>
              <a:srgbClr val="EE9B00"/>
            </a:solidFill>
            <a:ln>
              <a:noFill/>
            </a:ln>
            <a:effectLst/>
          </c:spPr>
          <c:invertIfNegative val="0"/>
          <c:val>
            <c:numRef>
              <c:f>'Calculation Values'!$G$3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F576-4140-A74F-7510A92E6D3E}"/>
            </c:ext>
          </c:extLst>
        </c:ser>
        <c:ser>
          <c:idx val="3"/>
          <c:order val="4"/>
          <c:tx>
            <c:strRef>
              <c:f>'Calculation Values'!$H$6</c:f>
              <c:strCache>
                <c:ptCount val="1"/>
                <c:pt idx="0">
                  <c:v>Portable Generator</c:v>
                </c:pt>
              </c:strCache>
            </c:strRef>
          </c:tx>
          <c:spPr>
            <a:solidFill>
              <a:srgbClr val="94D2BD"/>
            </a:solidFill>
            <a:ln>
              <a:noFill/>
            </a:ln>
            <a:effectLst/>
          </c:spPr>
          <c:invertIfNegative val="0"/>
          <c:val>
            <c:numRef>
              <c:f>'Calculation Values'!$H$3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F576-4140-A74F-7510A92E6D3E}"/>
            </c:ext>
          </c:extLst>
        </c:ser>
        <c:ser>
          <c:idx val="4"/>
          <c:order val="5"/>
          <c:tx>
            <c:strRef>
              <c:f>'Calculation Values'!$I$6</c:f>
              <c:strCache>
                <c:ptCount val="1"/>
                <c:pt idx="0">
                  <c:v>Standby Generator</c:v>
                </c:pt>
              </c:strCache>
            </c:strRef>
          </c:tx>
          <c:spPr>
            <a:solidFill>
              <a:srgbClr val="CA6702"/>
            </a:solidFill>
            <a:ln>
              <a:noFill/>
            </a:ln>
            <a:effectLst/>
          </c:spPr>
          <c:invertIfNegative val="0"/>
          <c:val>
            <c:numRef>
              <c:f>'Calculation Values'!$I$3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F576-4140-A74F-7510A92E6D3E}"/>
            </c:ext>
          </c:extLst>
        </c:ser>
        <c:ser>
          <c:idx val="5"/>
          <c:order val="6"/>
          <c:tx>
            <c:strRef>
              <c:f>'Calculation Values'!$J$6</c:f>
              <c:strCache>
                <c:ptCount val="1"/>
                <c:pt idx="0">
                  <c:v>Photovoltaic Generation</c:v>
                </c:pt>
              </c:strCache>
            </c:strRef>
          </c:tx>
          <c:spPr>
            <a:solidFill>
              <a:srgbClr val="E9D8A6"/>
            </a:solidFill>
            <a:ln>
              <a:noFill/>
            </a:ln>
            <a:effectLst/>
          </c:spPr>
          <c:invertIfNegative val="0"/>
          <c:val>
            <c:numRef>
              <c:f>'Calculation Values'!$J$3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F576-4140-A74F-7510A92E6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29614736"/>
        <c:axId val="729612240"/>
      </c:barChart>
      <c:catAx>
        <c:axId val="7296147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Backup</a:t>
                </a:r>
                <a:r>
                  <a:rPr lang="en-US" sz="1200" baseline="0"/>
                  <a:t> sources</a:t>
                </a:r>
                <a:endParaRPr 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729612240"/>
        <c:crosses val="autoZero"/>
        <c:auto val="1"/>
        <c:lblAlgn val="ctr"/>
        <c:lblOffset val="100"/>
        <c:noMultiLvlLbl val="1"/>
      </c:catAx>
      <c:valAx>
        <c:axId val="72961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Energy</a:t>
                </a:r>
                <a:r>
                  <a:rPr lang="en-US" sz="1200" baseline="0"/>
                  <a:t> produced</a:t>
                </a:r>
                <a:r>
                  <a:rPr lang="en-US" sz="1200"/>
                  <a:t> [Wh]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'Actual Home Load Profiles'!$B$6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336042</xdr:colOff>
      <xdr:row>24</xdr:row>
      <xdr:rowOff>360598</xdr:rowOff>
    </xdr:from>
    <xdr:to>
      <xdr:col>10</xdr:col>
      <xdr:colOff>0</xdr:colOff>
      <xdr:row>26</xdr:row>
      <xdr:rowOff>114299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289292" y="6970948"/>
          <a:ext cx="3950208" cy="668101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The backup sources will power the home loads. Only values for the desired backup configuration should be inputted,</a:t>
          </a:r>
          <a:r>
            <a:rPr lang="en-US" sz="1050" baseline="0">
              <a:solidFill>
                <a:srgbClr val="001219"/>
              </a:solidFill>
            </a:rPr>
            <a:t> the rest should be left blank or "0".</a:t>
          </a:r>
          <a:endParaRPr lang="en-US" sz="1050">
            <a:solidFill>
              <a:srgbClr val="001219"/>
            </a:solidFill>
          </a:endParaRPr>
        </a:p>
      </xdr:txBody>
    </xdr:sp>
    <xdr:clientData/>
  </xdr:twoCellAnchor>
  <xdr:twoCellAnchor>
    <xdr:from>
      <xdr:col>5</xdr:col>
      <xdr:colOff>107497</xdr:colOff>
      <xdr:row>27</xdr:row>
      <xdr:rowOff>108856</xdr:rowOff>
    </xdr:from>
    <xdr:to>
      <xdr:col>5</xdr:col>
      <xdr:colOff>1088572</xdr:colOff>
      <xdr:row>29</xdr:row>
      <xdr:rowOff>179615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917747" y="5642881"/>
          <a:ext cx="981075" cy="623209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1</a:t>
          </a:r>
          <a:r>
            <a:rPr lang="en-US" sz="1050" baseline="0">
              <a:solidFill>
                <a:srgbClr val="001219"/>
              </a:solidFill>
            </a:rPr>
            <a:t> gal (US) = 3.785 L</a:t>
          </a:r>
          <a:endParaRPr lang="en-US" sz="1050">
            <a:solidFill>
              <a:srgbClr val="001219"/>
            </a:solidFill>
          </a:endParaRPr>
        </a:p>
      </xdr:txBody>
    </xdr:sp>
    <xdr:clientData/>
  </xdr:twoCellAnchor>
  <xdr:twoCellAnchor>
    <xdr:from>
      <xdr:col>8</xdr:col>
      <xdr:colOff>206378</xdr:colOff>
      <xdr:row>57</xdr:row>
      <xdr:rowOff>123825</xdr:rowOff>
    </xdr:from>
    <xdr:to>
      <xdr:col>10</xdr:col>
      <xdr:colOff>0</xdr:colOff>
      <xdr:row>64</xdr:row>
      <xdr:rowOff>9526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236078" y="14763750"/>
          <a:ext cx="2098672" cy="1152526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To change the default</a:t>
          </a:r>
          <a:r>
            <a:rPr lang="en-US" sz="1050" baseline="0">
              <a:solidFill>
                <a:srgbClr val="001219"/>
              </a:solidFill>
            </a:rPr>
            <a:t> daily running time, and running and starting watts, go to the "List Options" tab and change values in columns E, G, and I, respectively.</a:t>
          </a:r>
          <a:endParaRPr lang="en-US" sz="1050">
            <a:solidFill>
              <a:srgbClr val="001219"/>
            </a:solidFill>
          </a:endParaRPr>
        </a:p>
      </xdr:txBody>
    </xdr:sp>
    <xdr:clientData/>
  </xdr:twoCellAnchor>
  <xdr:twoCellAnchor>
    <xdr:from>
      <xdr:col>8</xdr:col>
      <xdr:colOff>208026</xdr:colOff>
      <xdr:row>52</xdr:row>
      <xdr:rowOff>147638</xdr:rowOff>
    </xdr:from>
    <xdr:to>
      <xdr:col>10</xdr:col>
      <xdr:colOff>0</xdr:colOff>
      <xdr:row>56</xdr:row>
      <xdr:rowOff>100013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9237726" y="13882688"/>
          <a:ext cx="2097024" cy="676275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The priority</a:t>
          </a:r>
          <a:r>
            <a:rPr lang="en-US" sz="1050" baseline="0">
              <a:solidFill>
                <a:srgbClr val="001219"/>
              </a:solidFill>
            </a:rPr>
            <a:t> order of the appliances is used in the optimization process.</a:t>
          </a:r>
          <a:endParaRPr lang="en-US" sz="1050">
            <a:solidFill>
              <a:srgbClr val="001219"/>
            </a:solidFill>
          </a:endParaRPr>
        </a:p>
      </xdr:txBody>
    </xdr:sp>
    <xdr:clientData/>
  </xdr:twoCellAnchor>
  <xdr:twoCellAnchor>
    <xdr:from>
      <xdr:col>8</xdr:col>
      <xdr:colOff>209550</xdr:colOff>
      <xdr:row>48</xdr:row>
      <xdr:rowOff>0</xdr:rowOff>
    </xdr:from>
    <xdr:to>
      <xdr:col>10</xdr:col>
      <xdr:colOff>0</xdr:colOff>
      <xdr:row>51</xdr:row>
      <xdr:rowOff>123825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9239250" y="12639675"/>
          <a:ext cx="2095500" cy="1038225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For</a:t>
          </a:r>
          <a:r>
            <a:rPr lang="en-US" sz="1050" baseline="0">
              <a:solidFill>
                <a:srgbClr val="001219"/>
              </a:solidFill>
            </a:rPr>
            <a:t> pre-selected appliances that are not running in the home, enter "0" in the quantity and priority cells, or leave them blank.</a:t>
          </a:r>
          <a:endParaRPr lang="en-US" sz="1050">
            <a:solidFill>
              <a:srgbClr val="001219"/>
            </a:solidFill>
          </a:endParaRPr>
        </a:p>
      </xdr:txBody>
    </xdr:sp>
    <xdr:clientData/>
  </xdr:twoCellAnchor>
  <xdr:twoCellAnchor>
    <xdr:from>
      <xdr:col>7</xdr:col>
      <xdr:colOff>238125</xdr:colOff>
      <xdr:row>38</xdr:row>
      <xdr:rowOff>78105</xdr:rowOff>
    </xdr:from>
    <xdr:to>
      <xdr:col>10</xdr:col>
      <xdr:colOff>0</xdr:colOff>
      <xdr:row>40</xdr:row>
      <xdr:rowOff>342900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8267700" y="10155555"/>
          <a:ext cx="3067050" cy="626745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For standby</a:t>
          </a:r>
          <a:r>
            <a:rPr lang="en-US" sz="1050" baseline="0">
              <a:solidFill>
                <a:srgbClr val="001219"/>
              </a:solidFill>
            </a:rPr>
            <a:t> generators powered by natural gas, the fuel source is considered infinite.</a:t>
          </a:r>
        </a:p>
      </xdr:txBody>
    </xdr:sp>
    <xdr:clientData/>
  </xdr:twoCellAnchor>
  <xdr:twoCellAnchor>
    <xdr:from>
      <xdr:col>6</xdr:col>
      <xdr:colOff>1186543</xdr:colOff>
      <xdr:row>31</xdr:row>
      <xdr:rowOff>0</xdr:rowOff>
    </xdr:from>
    <xdr:to>
      <xdr:col>10</xdr:col>
      <xdr:colOff>0</xdr:colOff>
      <xdr:row>32</xdr:row>
      <xdr:rowOff>315685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8153400" y="8937171"/>
          <a:ext cx="3091543" cy="685800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The pre-determined</a:t>
          </a:r>
          <a:r>
            <a:rPr lang="en-US" sz="1050" baseline="0">
              <a:solidFill>
                <a:srgbClr val="001219"/>
              </a:solidFill>
            </a:rPr>
            <a:t> PV generation datasets use NREL's System Advisor Model (SAM) in Austin, TX with south-facing, roof-mounted panels tilted at 20⁰.</a:t>
          </a:r>
        </a:p>
      </xdr:txBody>
    </xdr:sp>
    <xdr:clientData/>
  </xdr:twoCellAnchor>
  <xdr:twoCellAnchor>
    <xdr:from>
      <xdr:col>20</xdr:col>
      <xdr:colOff>62865</xdr:colOff>
      <xdr:row>1</xdr:row>
      <xdr:rowOff>9530</xdr:rowOff>
    </xdr:from>
    <xdr:to>
      <xdr:col>32</xdr:col>
      <xdr:colOff>485775</xdr:colOff>
      <xdr:row>37</xdr:row>
      <xdr:rowOff>19049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336042</xdr:colOff>
      <xdr:row>26</xdr:row>
      <xdr:rowOff>238125</xdr:rowOff>
    </xdr:from>
    <xdr:to>
      <xdr:col>10</xdr:col>
      <xdr:colOff>0</xdr:colOff>
      <xdr:row>30</xdr:row>
      <xdr:rowOff>185057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7289292" y="7762875"/>
          <a:ext cx="3950208" cy="1032782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The battery size inputted is assumed to be for a fully charged</a:t>
          </a:r>
          <a:r>
            <a:rPr lang="en-US" sz="1050" baseline="0">
              <a:solidFill>
                <a:srgbClr val="001219"/>
              </a:solidFill>
            </a:rPr>
            <a:t> (100% state-of-charge(SoC)) battery. For the battery to remain above and/or below a certain SoC, enter the desired percentage. If the battery may be fully depleted, enter '0' for minimum SoC; and if it may be fully charged, enter a '100' for maximum SoC.</a:t>
          </a:r>
          <a:endParaRPr lang="en-US" sz="1050">
            <a:solidFill>
              <a:srgbClr val="001219"/>
            </a:solidFill>
          </a:endParaRPr>
        </a:p>
      </xdr:txBody>
    </xdr:sp>
    <xdr:clientData/>
  </xdr:twoCellAnchor>
  <xdr:twoCellAnchor>
    <xdr:from>
      <xdr:col>3</xdr:col>
      <xdr:colOff>133435</xdr:colOff>
      <xdr:row>6</xdr:row>
      <xdr:rowOff>3348</xdr:rowOff>
    </xdr:from>
    <xdr:to>
      <xdr:col>5</xdr:col>
      <xdr:colOff>645459</xdr:colOff>
      <xdr:row>7</xdr:row>
      <xdr:rowOff>349624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3029035" y="1150830"/>
          <a:ext cx="3443483" cy="713829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The</a:t>
          </a:r>
          <a:r>
            <a:rPr lang="en-US" sz="1050" baseline="0">
              <a:solidFill>
                <a:srgbClr val="001219"/>
              </a:solidFill>
            </a:rPr>
            <a:t> weather condition determines both the PV generation, actual home load profile, and heating/cooling appliances temperature profile.</a:t>
          </a:r>
          <a:endParaRPr lang="en-US" sz="1050">
            <a:solidFill>
              <a:srgbClr val="001219"/>
            </a:solidFill>
          </a:endParaRPr>
        </a:p>
      </xdr:txBody>
    </xdr:sp>
    <xdr:clientData/>
  </xdr:twoCellAnchor>
  <xdr:twoCellAnchor>
    <xdr:from>
      <xdr:col>3</xdr:col>
      <xdr:colOff>156488</xdr:colOff>
      <xdr:row>125</xdr:row>
      <xdr:rowOff>0</xdr:rowOff>
    </xdr:from>
    <xdr:to>
      <xdr:col>3</xdr:col>
      <xdr:colOff>1643743</xdr:colOff>
      <xdr:row>127</xdr:row>
      <xdr:rowOff>21771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052088" y="28760057"/>
          <a:ext cx="1487255" cy="751114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aseline="0">
              <a:solidFill>
                <a:srgbClr val="001219"/>
              </a:solidFill>
            </a:rPr>
            <a:t>The simulation run time can be up to 1 week.</a:t>
          </a:r>
          <a:endParaRPr lang="en-US" sz="1050">
            <a:solidFill>
              <a:srgbClr val="001219"/>
            </a:solidFill>
          </a:endParaRPr>
        </a:p>
      </xdr:txBody>
    </xdr:sp>
    <xdr:clientData/>
  </xdr:twoCellAnchor>
  <xdr:twoCellAnchor>
    <xdr:from>
      <xdr:col>4</xdr:col>
      <xdr:colOff>207169</xdr:colOff>
      <xdr:row>128</xdr:row>
      <xdr:rowOff>0</xdr:rowOff>
    </xdr:from>
    <xdr:to>
      <xdr:col>5</xdr:col>
      <xdr:colOff>876300</xdr:colOff>
      <xdr:row>133</xdr:row>
      <xdr:rowOff>18288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4874419" y="28622625"/>
          <a:ext cx="1812131" cy="923163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This button</a:t>
          </a:r>
          <a:r>
            <a:rPr lang="en-US" sz="1050" baseline="0">
              <a:solidFill>
                <a:srgbClr val="001219"/>
              </a:solidFill>
            </a:rPr>
            <a:t> calls a Python script to solve for the optimal times to turn on backup sources and home loads.</a:t>
          </a:r>
          <a:endParaRPr lang="en-US" sz="1050">
            <a:solidFill>
              <a:srgbClr val="001219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</xdr:colOff>
          <xdr:row>128</xdr:row>
          <xdr:rowOff>68580</xdr:rowOff>
        </xdr:from>
        <xdr:to>
          <xdr:col>3</xdr:col>
          <xdr:colOff>1722120</xdr:colOff>
          <xdr:row>130</xdr:row>
          <xdr:rowOff>121920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SCENARIO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0</xdr:colOff>
      <xdr:row>1</xdr:row>
      <xdr:rowOff>2</xdr:rowOff>
    </xdr:from>
    <xdr:to>
      <xdr:col>42</xdr:col>
      <xdr:colOff>594360</xdr:colOff>
      <xdr:row>25</xdr:row>
      <xdr:rowOff>457200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906780</xdr:colOff>
          <xdr:row>119</xdr:row>
          <xdr:rowOff>0</xdr:rowOff>
        </xdr:from>
        <xdr:to>
          <xdr:col>2</xdr:col>
          <xdr:colOff>1935480</xdr:colOff>
          <xdr:row>120</xdr:row>
          <xdr:rowOff>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152400</xdr:colOff>
      <xdr:row>118</xdr:row>
      <xdr:rowOff>0</xdr:rowOff>
    </xdr:from>
    <xdr:to>
      <xdr:col>4</xdr:col>
      <xdr:colOff>936172</xdr:colOff>
      <xdr:row>119</xdr:row>
      <xdr:rowOff>174172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3048000" y="27236057"/>
          <a:ext cx="2569029" cy="544286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This</a:t>
          </a:r>
          <a:r>
            <a:rPr lang="en-US" sz="1050" baseline="0">
              <a:solidFill>
                <a:srgbClr val="001219"/>
              </a:solidFill>
            </a:rPr>
            <a:t> load profile corresponds to the selected weather condition and home size.</a:t>
          </a:r>
          <a:endParaRPr lang="en-US" sz="1050">
            <a:solidFill>
              <a:srgbClr val="001219"/>
            </a:solidFill>
          </a:endParaRPr>
        </a:p>
      </xdr:txBody>
    </xdr:sp>
    <xdr:clientData/>
  </xdr:twoCellAnchor>
  <xdr:twoCellAnchor>
    <xdr:from>
      <xdr:col>9</xdr:col>
      <xdr:colOff>261257</xdr:colOff>
      <xdr:row>12</xdr:row>
      <xdr:rowOff>4081</xdr:rowOff>
    </xdr:from>
    <xdr:to>
      <xdr:col>10</xdr:col>
      <xdr:colOff>0</xdr:colOff>
      <xdr:row>16</xdr:row>
      <xdr:rowOff>359229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352314" y="2845252"/>
          <a:ext cx="892629" cy="1465491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aseline="0">
              <a:solidFill>
                <a:srgbClr val="001219"/>
              </a:solidFill>
            </a:rPr>
            <a:t>Only enter values for desired backup sources, leave other 'priority' cells blank.</a:t>
          </a:r>
        </a:p>
      </xdr:txBody>
    </xdr:sp>
    <xdr:clientData/>
  </xdr:twoCellAnchor>
  <xdr:twoCellAnchor>
    <xdr:from>
      <xdr:col>43</xdr:col>
      <xdr:colOff>0</xdr:colOff>
      <xdr:row>1</xdr:row>
      <xdr:rowOff>0</xdr:rowOff>
    </xdr:from>
    <xdr:to>
      <xdr:col>52</xdr:col>
      <xdr:colOff>594360</xdr:colOff>
      <xdr:row>25</xdr:row>
      <xdr:rowOff>108857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190690</xdr:colOff>
      <xdr:row>64</xdr:row>
      <xdr:rowOff>150162</xdr:rowOff>
    </xdr:from>
    <xdr:to>
      <xdr:col>9</xdr:col>
      <xdr:colOff>1131794</xdr:colOff>
      <xdr:row>69</xdr:row>
      <xdr:rowOff>38100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9496615" y="16961787"/>
          <a:ext cx="1779304" cy="792813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Additional</a:t>
          </a:r>
          <a:r>
            <a:rPr lang="en-US" sz="1050" baseline="0">
              <a:solidFill>
                <a:srgbClr val="001219"/>
              </a:solidFill>
            </a:rPr>
            <a:t> s</a:t>
          </a:r>
          <a:r>
            <a:rPr lang="en-US" sz="1050">
              <a:solidFill>
                <a:srgbClr val="001219"/>
              </a:solidFill>
            </a:rPr>
            <a:t>tarting watts are</a:t>
          </a:r>
          <a:r>
            <a:rPr lang="en-US" sz="1050" baseline="0">
              <a:solidFill>
                <a:srgbClr val="001219"/>
              </a:solidFill>
            </a:rPr>
            <a:t> watts needed for an appliance to start in addition to the running watts.</a:t>
          </a:r>
          <a:endParaRPr lang="en-US" sz="1050">
            <a:solidFill>
              <a:srgbClr val="001219"/>
            </a:solidFill>
          </a:endParaRPr>
        </a:p>
      </xdr:txBody>
    </xdr:sp>
    <xdr:clientData/>
  </xdr:twoCellAnchor>
  <xdr:twoCellAnchor>
    <xdr:from>
      <xdr:col>5</xdr:col>
      <xdr:colOff>1012542</xdr:colOff>
      <xdr:row>128</xdr:row>
      <xdr:rowOff>0</xdr:rowOff>
    </xdr:from>
    <xdr:to>
      <xdr:col>7</xdr:col>
      <xdr:colOff>157673</xdr:colOff>
      <xdr:row>133</xdr:row>
      <xdr:rowOff>18288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836399" y="29500286"/>
          <a:ext cx="1474674" cy="943573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The optimization objective is</a:t>
          </a:r>
          <a:r>
            <a:rPr lang="en-US" sz="1050" baseline="0">
              <a:solidFill>
                <a:srgbClr val="001219"/>
              </a:solidFill>
            </a:rPr>
            <a:t> to maximize home loads while minimizing backup source use.</a:t>
          </a:r>
          <a:endParaRPr lang="en-US" sz="1050">
            <a:solidFill>
              <a:srgbClr val="001219"/>
            </a:solidFill>
          </a:endParaRPr>
        </a:p>
      </xdr:txBody>
    </xdr:sp>
    <xdr:clientData/>
  </xdr:twoCellAnchor>
  <xdr:twoCellAnchor>
    <xdr:from>
      <xdr:col>20</xdr:col>
      <xdr:colOff>0</xdr:colOff>
      <xdr:row>40</xdr:row>
      <xdr:rowOff>0</xdr:rowOff>
    </xdr:from>
    <xdr:to>
      <xdr:col>32</xdr:col>
      <xdr:colOff>422910</xdr:colOff>
      <xdr:row>89</xdr:row>
      <xdr:rowOff>10886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990599</xdr:colOff>
      <xdr:row>40</xdr:row>
      <xdr:rowOff>0</xdr:rowOff>
    </xdr:from>
    <xdr:to>
      <xdr:col>37</xdr:col>
      <xdr:colOff>609599</xdr:colOff>
      <xdr:row>96</xdr:row>
      <xdr:rowOff>60960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816425</xdr:colOff>
      <xdr:row>39</xdr:row>
      <xdr:rowOff>180975</xdr:rowOff>
    </xdr:from>
    <xdr:to>
      <xdr:col>42</xdr:col>
      <xdr:colOff>435425</xdr:colOff>
      <xdr:row>69</xdr:row>
      <xdr:rowOff>152401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130630</xdr:colOff>
      <xdr:row>125</xdr:row>
      <xdr:rowOff>1</xdr:rowOff>
    </xdr:from>
    <xdr:to>
      <xdr:col>8</xdr:col>
      <xdr:colOff>43543</xdr:colOff>
      <xdr:row>127</xdr:row>
      <xdr:rowOff>10885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7097487" y="28760058"/>
          <a:ext cx="2275113" cy="566056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Enter as 'hh:mm'</a:t>
          </a:r>
          <a:r>
            <a:rPr lang="en-US" sz="1050" baseline="0">
              <a:solidFill>
                <a:srgbClr val="001219"/>
              </a:solidFill>
            </a:rPr>
            <a:t> in 24-hour time.</a:t>
          </a:r>
          <a:endParaRPr lang="en-US" sz="1050">
            <a:solidFill>
              <a:srgbClr val="001219"/>
            </a:solidFill>
          </a:endParaRPr>
        </a:p>
        <a:p>
          <a:pPr algn="ctr"/>
          <a:r>
            <a:rPr lang="en-US" sz="1050">
              <a:solidFill>
                <a:srgbClr val="001219"/>
              </a:solidFill>
            </a:rPr>
            <a:t>Default</a:t>
          </a:r>
          <a:r>
            <a:rPr lang="en-US" sz="1050" baseline="0">
              <a:solidFill>
                <a:srgbClr val="001219"/>
              </a:solidFill>
            </a:rPr>
            <a:t> start time is midnight '0:00'.</a:t>
          </a:r>
          <a:endParaRPr lang="en-US" sz="1050">
            <a:solidFill>
              <a:srgbClr val="001219"/>
            </a:solidFill>
          </a:endParaRPr>
        </a:p>
      </xdr:txBody>
    </xdr:sp>
    <xdr:clientData/>
  </xdr:twoCellAnchor>
  <xdr:twoCellAnchor>
    <xdr:from>
      <xdr:col>7</xdr:col>
      <xdr:colOff>315686</xdr:colOff>
      <xdr:row>128</xdr:row>
      <xdr:rowOff>0</xdr:rowOff>
    </xdr:from>
    <xdr:to>
      <xdr:col>10</xdr:col>
      <xdr:colOff>21772</xdr:colOff>
      <xdr:row>134</xdr:row>
      <xdr:rowOff>10885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69086" y="29500286"/>
          <a:ext cx="2732315" cy="1121228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If</a:t>
          </a:r>
          <a:r>
            <a:rPr lang="en-US" sz="1050" baseline="0">
              <a:solidFill>
                <a:srgbClr val="001219"/>
              </a:solidFill>
            </a:rPr>
            <a:t> the Python script name has changed:</a:t>
          </a:r>
        </a:p>
        <a:p>
          <a:pPr algn="ctr"/>
          <a:r>
            <a:rPr lang="en-US" sz="1050" baseline="0">
              <a:solidFill>
                <a:srgbClr val="001219"/>
              </a:solidFill>
            </a:rPr>
            <a:t>- go to the Developer tab from the ribbon</a:t>
          </a:r>
        </a:p>
        <a:p>
          <a:pPr algn="ctr"/>
          <a:r>
            <a:rPr lang="en-US" sz="1050" baseline="0">
              <a:solidFill>
                <a:srgbClr val="001219"/>
              </a:solidFill>
            </a:rPr>
            <a:t>- click "View Code" in the "Controls" group</a:t>
          </a:r>
        </a:p>
        <a:p>
          <a:pPr algn="ctr"/>
          <a:r>
            <a:rPr lang="en-US" sz="1050" baseline="0">
              <a:solidFill>
                <a:srgbClr val="001219"/>
              </a:solidFill>
            </a:rPr>
            <a:t>- go to "Module1" in the project window</a:t>
          </a:r>
        </a:p>
        <a:p>
          <a:pPr algn="ctr"/>
          <a:r>
            <a:rPr lang="en-US" sz="1050" baseline="0">
              <a:solidFill>
                <a:srgbClr val="001219"/>
              </a:solidFill>
            </a:rPr>
            <a:t>Also check line 18 of the Python code for the correct Excel workbook name.</a:t>
          </a:r>
        </a:p>
      </xdr:txBody>
    </xdr:sp>
    <xdr:clientData/>
  </xdr:twoCellAnchor>
  <xdr:twoCellAnchor>
    <xdr:from>
      <xdr:col>7</xdr:col>
      <xdr:colOff>143434</xdr:colOff>
      <xdr:row>6</xdr:row>
      <xdr:rowOff>0</xdr:rowOff>
    </xdr:from>
    <xdr:to>
      <xdr:col>9</xdr:col>
      <xdr:colOff>152396</xdr:colOff>
      <xdr:row>7</xdr:row>
      <xdr:rowOff>349624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8362148" y="1164771"/>
          <a:ext cx="1881305" cy="719739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The</a:t>
          </a:r>
          <a:r>
            <a:rPr lang="en-US" sz="1050" baseline="0">
              <a:solidFill>
                <a:srgbClr val="001219"/>
              </a:solidFill>
            </a:rPr>
            <a:t> home size determines the actual home load profile and heating/cooling appliances.</a:t>
          </a:r>
          <a:endParaRPr lang="en-US" sz="1050">
            <a:solidFill>
              <a:srgbClr val="001219"/>
            </a:solidFill>
          </a:endParaRPr>
        </a:p>
      </xdr:txBody>
    </xdr:sp>
    <xdr:clientData/>
  </xdr:twoCellAnchor>
  <xdr:twoCellAnchor>
    <xdr:from>
      <xdr:col>8</xdr:col>
      <xdr:colOff>152400</xdr:colOff>
      <xdr:row>125</xdr:row>
      <xdr:rowOff>0</xdr:rowOff>
    </xdr:from>
    <xdr:to>
      <xdr:col>9</xdr:col>
      <xdr:colOff>944330</xdr:colOff>
      <xdr:row>127</xdr:row>
      <xdr:rowOff>21771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9525000" y="28270200"/>
          <a:ext cx="1487255" cy="564696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The</a:t>
          </a:r>
          <a:r>
            <a:rPr lang="en-US" sz="1050" baseline="0">
              <a:solidFill>
                <a:srgbClr val="001219"/>
              </a:solidFill>
            </a:rPr>
            <a:t> tool uses 15-minute time steps.</a:t>
          </a:r>
          <a:endParaRPr lang="en-US" sz="1050">
            <a:solidFill>
              <a:srgbClr val="001219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113</xdr:row>
      <xdr:rowOff>180974</xdr:rowOff>
    </xdr:from>
    <xdr:to>
      <xdr:col>4</xdr:col>
      <xdr:colOff>714375</xdr:colOff>
      <xdr:row>120</xdr:row>
      <xdr:rowOff>19050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609601" y="20812124"/>
          <a:ext cx="3781424" cy="1104901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The starting watts for actual home load</a:t>
          </a:r>
          <a:r>
            <a:rPr lang="en-US" sz="1050" baseline="0">
              <a:solidFill>
                <a:srgbClr val="001219"/>
              </a:solidFill>
            </a:rPr>
            <a:t> profiles are determined from the starting watts of a heat pump. The assumption is that a heat pump will require the most power to start and it may turn on at any time interval within the day. The starting watt value is the starting-to-running watts ratio (1.33) times the maximum of the running watts of a heat pump for the selected home size.</a:t>
          </a:r>
          <a:endParaRPr lang="en-US" sz="1050">
            <a:solidFill>
              <a:srgbClr val="001219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D4579-888A-428E-8B6B-8674898D7529}">
  <sheetPr codeName="Sheet2"/>
  <dimension ref="A1:G24"/>
  <sheetViews>
    <sheetView workbookViewId="0"/>
  </sheetViews>
  <sheetFormatPr defaultRowHeight="14.4" x14ac:dyDescent="0.3"/>
  <cols>
    <col min="2" max="2" width="37.44140625" bestFit="1" customWidth="1"/>
    <col min="3" max="3" width="63.88671875" customWidth="1"/>
    <col min="6" max="6" width="11.5546875" bestFit="1" customWidth="1"/>
    <col min="7" max="7" width="49.5546875" bestFit="1" customWidth="1"/>
  </cols>
  <sheetData>
    <row r="1" spans="1:7" x14ac:dyDescent="0.3">
      <c r="A1" s="45"/>
      <c r="B1" s="45"/>
      <c r="C1" s="45"/>
      <c r="D1" s="45"/>
    </row>
    <row r="2" spans="1:7" x14ac:dyDescent="0.3">
      <c r="A2" s="45"/>
      <c r="B2" s="54" t="s">
        <v>170</v>
      </c>
      <c r="C2" s="54" t="s">
        <v>169</v>
      </c>
      <c r="D2" s="45"/>
      <c r="F2" s="54" t="s">
        <v>179</v>
      </c>
      <c r="G2" s="54" t="s">
        <v>180</v>
      </c>
    </row>
    <row r="3" spans="1:7" ht="15.6" customHeight="1" x14ac:dyDescent="0.3">
      <c r="A3" s="45"/>
      <c r="B3" s="45" t="s">
        <v>175</v>
      </c>
      <c r="C3" s="45" t="s">
        <v>177</v>
      </c>
      <c r="D3" s="45"/>
      <c r="F3" s="48"/>
      <c r="G3" s="45" t="s">
        <v>181</v>
      </c>
    </row>
    <row r="4" spans="1:7" x14ac:dyDescent="0.3">
      <c r="A4" s="45"/>
      <c r="B4" s="45" t="s">
        <v>176</v>
      </c>
      <c r="C4" s="45" t="s">
        <v>178</v>
      </c>
      <c r="D4" s="45"/>
      <c r="F4" s="49"/>
      <c r="G4" s="45" t="s">
        <v>182</v>
      </c>
    </row>
    <row r="5" spans="1:7" ht="28.8" x14ac:dyDescent="0.3">
      <c r="A5" s="45"/>
      <c r="B5" s="269" t="s">
        <v>292</v>
      </c>
      <c r="C5" s="46" t="s">
        <v>168</v>
      </c>
      <c r="D5" s="45"/>
      <c r="F5" s="50"/>
      <c r="G5" s="45" t="s">
        <v>183</v>
      </c>
    </row>
    <row r="6" spans="1:7" ht="28.8" x14ac:dyDescent="0.3">
      <c r="A6" s="45"/>
      <c r="B6" s="46" t="s">
        <v>172</v>
      </c>
      <c r="C6" s="46" t="s">
        <v>171</v>
      </c>
      <c r="D6" s="45"/>
      <c r="F6" s="51"/>
      <c r="G6" s="45" t="s">
        <v>184</v>
      </c>
    </row>
    <row r="7" spans="1:7" ht="28.8" x14ac:dyDescent="0.3">
      <c r="A7" s="45"/>
      <c r="B7" s="46" t="s">
        <v>150</v>
      </c>
      <c r="C7" s="46" t="s">
        <v>174</v>
      </c>
      <c r="D7" s="45"/>
      <c r="F7" s="52"/>
      <c r="G7" s="45" t="s">
        <v>185</v>
      </c>
    </row>
    <row r="8" spans="1:7" ht="43.2" x14ac:dyDescent="0.3">
      <c r="B8" s="46" t="s">
        <v>45</v>
      </c>
      <c r="C8" s="46" t="s">
        <v>173</v>
      </c>
      <c r="F8" s="53"/>
      <c r="G8" s="45" t="s">
        <v>186</v>
      </c>
    </row>
    <row r="9" spans="1:7" ht="28.8" x14ac:dyDescent="0.3">
      <c r="B9" s="55" t="s">
        <v>188</v>
      </c>
      <c r="C9" s="269" t="s">
        <v>291</v>
      </c>
    </row>
    <row r="10" spans="1:7" x14ac:dyDescent="0.3">
      <c r="B10" s="47"/>
      <c r="C10" s="47"/>
    </row>
    <row r="11" spans="1:7" x14ac:dyDescent="0.3">
      <c r="B11" s="47"/>
      <c r="C11" s="47"/>
    </row>
    <row r="12" spans="1:7" x14ac:dyDescent="0.3">
      <c r="B12" s="47"/>
      <c r="C12" s="47"/>
    </row>
    <row r="13" spans="1:7" x14ac:dyDescent="0.3">
      <c r="B13" s="47"/>
    </row>
    <row r="14" spans="1:7" x14ac:dyDescent="0.3">
      <c r="B14" s="47"/>
      <c r="C14" s="47"/>
    </row>
    <row r="15" spans="1:7" x14ac:dyDescent="0.3">
      <c r="B15" s="47"/>
      <c r="C15" s="47"/>
    </row>
    <row r="16" spans="1:7" x14ac:dyDescent="0.3">
      <c r="B16" s="47"/>
      <c r="C16" s="47"/>
    </row>
    <row r="17" spans="2:3" x14ac:dyDescent="0.3">
      <c r="B17" s="47"/>
      <c r="C17" s="128"/>
    </row>
    <row r="18" spans="2:3" x14ac:dyDescent="0.3">
      <c r="B18" s="47"/>
      <c r="C18" s="128"/>
    </row>
    <row r="19" spans="2:3" x14ac:dyDescent="0.3">
      <c r="B19" s="47"/>
      <c r="C19" s="47"/>
    </row>
    <row r="20" spans="2:3" x14ac:dyDescent="0.3">
      <c r="B20" s="47"/>
      <c r="C20" s="47"/>
    </row>
    <row r="21" spans="2:3" x14ac:dyDescent="0.3">
      <c r="B21" s="47"/>
      <c r="C21" s="47"/>
    </row>
    <row r="22" spans="2:3" x14ac:dyDescent="0.3">
      <c r="B22" s="47"/>
      <c r="C22" s="47"/>
    </row>
    <row r="23" spans="2:3" x14ac:dyDescent="0.3">
      <c r="B23" s="47"/>
      <c r="C23" s="47"/>
    </row>
    <row r="24" spans="2:3" x14ac:dyDescent="0.3">
      <c r="B24" s="47"/>
      <c r="C24" s="4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T135"/>
  <sheetViews>
    <sheetView tabSelected="1" zoomScale="80" zoomScaleNormal="80" workbookViewId="0"/>
  </sheetViews>
  <sheetFormatPr defaultColWidth="14.44140625" defaultRowHeight="14.4" x14ac:dyDescent="0.3"/>
  <cols>
    <col min="1" max="1" width="8.6640625" style="57" customWidth="1"/>
    <col min="2" max="2" width="4.77734375" style="57" customWidth="1"/>
    <col min="3" max="3" width="28.77734375" style="57" customWidth="1"/>
    <col min="4" max="4" width="26" style="57" customWidth="1"/>
    <col min="5" max="6" width="16.6640625" style="57" customWidth="1"/>
    <col min="7" max="7" width="18.21875" style="57" customWidth="1"/>
    <col min="8" max="8" width="17.109375" style="57" customWidth="1"/>
    <col min="9" max="9" width="10.109375" style="57" customWidth="1"/>
    <col min="10" max="10" width="16.77734375" style="57" customWidth="1"/>
    <col min="11" max="11" width="4.77734375" style="57" customWidth="1"/>
    <col min="12" max="13" width="8.6640625" style="57" customWidth="1"/>
    <col min="14" max="14" width="4.77734375" style="57" customWidth="1"/>
    <col min="15" max="15" width="18.88671875" style="57" customWidth="1"/>
    <col min="16" max="16" width="13.77734375" style="57" customWidth="1"/>
    <col min="17" max="17" width="15.77734375" style="57" customWidth="1"/>
    <col min="18" max="18" width="4.77734375" style="57" customWidth="1"/>
    <col min="19" max="27" width="8.6640625" style="57" customWidth="1"/>
    <col min="28" max="16384" width="14.44140625" style="57"/>
  </cols>
  <sheetData>
    <row r="2" spans="2:19" x14ac:dyDescent="0.3">
      <c r="B2" s="58"/>
      <c r="C2" s="59"/>
      <c r="D2" s="59"/>
      <c r="E2" s="59"/>
      <c r="F2" s="60"/>
      <c r="G2" s="59"/>
      <c r="H2" s="60"/>
      <c r="I2" s="60"/>
      <c r="J2" s="60"/>
      <c r="K2" s="61"/>
      <c r="N2" s="62"/>
      <c r="O2" s="63"/>
      <c r="P2" s="63"/>
      <c r="Q2" s="63"/>
      <c r="R2" s="64"/>
    </row>
    <row r="3" spans="2:19" ht="18" x14ac:dyDescent="0.3">
      <c r="B3" s="65"/>
      <c r="C3" s="272" t="s">
        <v>153</v>
      </c>
      <c r="D3" s="273"/>
      <c r="E3" s="273"/>
      <c r="F3" s="273"/>
      <c r="G3" s="273"/>
      <c r="H3" s="273"/>
      <c r="I3" s="273"/>
      <c r="J3" s="274"/>
      <c r="K3" s="66"/>
      <c r="N3" s="67"/>
      <c r="O3" s="278" t="s">
        <v>0</v>
      </c>
      <c r="P3" s="279"/>
      <c r="Q3" s="280"/>
      <c r="R3" s="68"/>
    </row>
    <row r="4" spans="2:19" x14ac:dyDescent="0.3">
      <c r="B4" s="69"/>
      <c r="C4" s="70"/>
      <c r="D4" s="70"/>
      <c r="E4" s="70"/>
      <c r="F4" s="70"/>
      <c r="G4" s="70"/>
      <c r="H4" s="70"/>
      <c r="I4" s="70"/>
      <c r="J4" s="70"/>
      <c r="K4" s="71"/>
      <c r="N4" s="67"/>
      <c r="O4" s="72"/>
      <c r="P4" s="72"/>
      <c r="Q4" s="72"/>
      <c r="R4" s="68"/>
    </row>
    <row r="5" spans="2:19" ht="15.6" x14ac:dyDescent="0.3">
      <c r="B5" s="69"/>
      <c r="C5" s="275" t="s">
        <v>267</v>
      </c>
      <c r="D5" s="276"/>
      <c r="E5" s="276"/>
      <c r="F5" s="276"/>
      <c r="G5" s="276"/>
      <c r="H5" s="276"/>
      <c r="I5" s="276"/>
      <c r="J5" s="277"/>
      <c r="K5" s="71"/>
      <c r="N5" s="67"/>
      <c r="O5" s="270" t="s">
        <v>239</v>
      </c>
      <c r="P5" s="271"/>
      <c r="Q5" s="163">
        <f>MAX('Calculation Values'!EH7:EH102)/1000</f>
        <v>0</v>
      </c>
      <c r="R5" s="68"/>
    </row>
    <row r="6" spans="2:19" x14ac:dyDescent="0.3">
      <c r="B6" s="69"/>
      <c r="C6" s="70"/>
      <c r="D6" s="70"/>
      <c r="E6" s="70"/>
      <c r="F6" s="70"/>
      <c r="G6" s="70"/>
      <c r="H6" s="70"/>
      <c r="I6" s="70"/>
      <c r="J6" s="70"/>
      <c r="K6" s="71"/>
      <c r="N6" s="67"/>
      <c r="O6" s="47"/>
      <c r="P6" s="160"/>
      <c r="Q6" s="94"/>
      <c r="R6" s="68"/>
    </row>
    <row r="7" spans="2:19" ht="28.8" x14ac:dyDescent="0.3">
      <c r="B7" s="69"/>
      <c r="C7" s="73" t="s">
        <v>268</v>
      </c>
      <c r="D7" s="70"/>
      <c r="E7" s="70"/>
      <c r="F7" s="70"/>
      <c r="G7" s="73" t="s">
        <v>269</v>
      </c>
      <c r="H7" s="70"/>
      <c r="I7" s="70"/>
      <c r="J7" s="70"/>
      <c r="K7" s="71"/>
      <c r="N7" s="67"/>
      <c r="O7" s="270" t="s">
        <v>240</v>
      </c>
      <c r="P7" s="271"/>
      <c r="Q7" s="163">
        <f>SUM('Calculation Values'!S3:BW3)/(1000*C127)</f>
        <v>0</v>
      </c>
      <c r="R7" s="68"/>
    </row>
    <row r="8" spans="2:19" ht="28.8" customHeight="1" x14ac:dyDescent="0.3">
      <c r="B8" s="69"/>
      <c r="C8" s="75"/>
      <c r="D8" s="70"/>
      <c r="E8" s="70"/>
      <c r="F8" s="70"/>
      <c r="G8" s="75"/>
      <c r="H8" s="70"/>
      <c r="I8" s="70"/>
      <c r="J8" s="70"/>
      <c r="K8" s="71"/>
      <c r="N8" s="67"/>
      <c r="O8" s="270" t="s">
        <v>241</v>
      </c>
      <c r="P8" s="271"/>
      <c r="Q8" s="161">
        <f>SUM('Calculation Values'!S2:BW2)/(1000*C127)</f>
        <v>0</v>
      </c>
      <c r="R8" s="68"/>
    </row>
    <row r="9" spans="2:19" ht="28.8" customHeight="1" x14ac:dyDescent="0.3">
      <c r="B9" s="69"/>
      <c r="C9" s="70"/>
      <c r="D9" s="70"/>
      <c r="E9" s="70"/>
      <c r="F9" s="70"/>
      <c r="G9" s="70"/>
      <c r="H9" s="70"/>
      <c r="I9" s="70"/>
      <c r="J9" s="70"/>
      <c r="K9" s="71"/>
      <c r="N9" s="67"/>
      <c r="O9" s="270" t="s">
        <v>242</v>
      </c>
      <c r="P9" s="271"/>
      <c r="Q9" s="162" t="e">
        <f>Q7/Q8</f>
        <v>#DIV/0!</v>
      </c>
      <c r="R9" s="68"/>
    </row>
    <row r="10" spans="2:19" x14ac:dyDescent="0.3">
      <c r="B10" s="65"/>
      <c r="C10" s="70"/>
      <c r="D10" s="70"/>
      <c r="E10" s="70"/>
      <c r="F10" s="70"/>
      <c r="G10" s="70"/>
      <c r="H10" s="70"/>
      <c r="I10" s="70"/>
      <c r="J10" s="70"/>
      <c r="K10" s="66"/>
      <c r="N10" s="67"/>
      <c r="O10" s="72"/>
      <c r="P10" s="72"/>
      <c r="Q10" s="72"/>
      <c r="R10" s="68"/>
    </row>
    <row r="11" spans="2:19" ht="15.6" x14ac:dyDescent="0.3">
      <c r="B11" s="76"/>
      <c r="C11" s="275" t="s">
        <v>1</v>
      </c>
      <c r="D11" s="276"/>
      <c r="E11" s="276"/>
      <c r="F11" s="276"/>
      <c r="G11" s="276"/>
      <c r="H11" s="276"/>
      <c r="I11" s="276"/>
      <c r="J11" s="277"/>
      <c r="K11" s="66"/>
      <c r="N11" s="67"/>
      <c r="O11" s="270" t="s">
        <v>259</v>
      </c>
      <c r="P11" s="271"/>
      <c r="Q11" s="175"/>
      <c r="R11" s="68"/>
    </row>
    <row r="12" spans="2:19" x14ac:dyDescent="0.3">
      <c r="B12" s="69"/>
      <c r="C12" s="74"/>
      <c r="D12" s="74"/>
      <c r="E12" s="74"/>
      <c r="F12" s="74"/>
      <c r="G12" s="74"/>
      <c r="H12" s="74"/>
      <c r="I12" s="74"/>
      <c r="J12" s="74"/>
      <c r="K12" s="71"/>
      <c r="N12" s="67"/>
      <c r="O12" s="47"/>
      <c r="P12" s="160"/>
      <c r="Q12" s="94"/>
      <c r="R12" s="68"/>
    </row>
    <row r="13" spans="2:19" ht="28.8" customHeight="1" x14ac:dyDescent="0.3">
      <c r="B13" s="65"/>
      <c r="C13" s="290" t="s">
        <v>2</v>
      </c>
      <c r="D13" s="291"/>
      <c r="E13" s="292"/>
      <c r="F13" s="70"/>
      <c r="G13" s="285" t="s">
        <v>215</v>
      </c>
      <c r="H13" s="286"/>
      <c r="I13" s="287"/>
      <c r="J13" s="74"/>
      <c r="K13" s="66"/>
      <c r="N13" s="67"/>
      <c r="O13" s="270" t="s">
        <v>272</v>
      </c>
      <c r="P13" s="271"/>
      <c r="Q13" s="163"/>
      <c r="R13" s="68"/>
    </row>
    <row r="14" spans="2:19" x14ac:dyDescent="0.3">
      <c r="B14" s="65"/>
      <c r="C14" s="293" t="s">
        <v>3</v>
      </c>
      <c r="D14" s="118" t="s">
        <v>155</v>
      </c>
      <c r="E14" s="78"/>
      <c r="F14" s="70"/>
      <c r="G14" s="288" t="s">
        <v>251</v>
      </c>
      <c r="H14" s="289"/>
      <c r="I14" s="121"/>
      <c r="J14" s="74"/>
      <c r="K14" s="66"/>
      <c r="N14" s="137"/>
      <c r="O14" s="92"/>
      <c r="P14" s="92"/>
      <c r="Q14" s="87"/>
      <c r="R14" s="138"/>
    </row>
    <row r="15" spans="2:19" x14ac:dyDescent="0.3">
      <c r="B15" s="69"/>
      <c r="C15" s="294"/>
      <c r="D15" s="6" t="s">
        <v>154</v>
      </c>
      <c r="E15" s="78"/>
      <c r="F15" s="70"/>
      <c r="G15" s="288" t="s">
        <v>250</v>
      </c>
      <c r="H15" s="289"/>
      <c r="I15" s="121"/>
      <c r="J15" s="74"/>
      <c r="K15" s="71"/>
      <c r="M15" s="192"/>
      <c r="N15" s="192"/>
      <c r="O15" s="192"/>
      <c r="P15" s="192"/>
      <c r="Q15" s="192"/>
      <c r="R15" s="192"/>
      <c r="S15" s="192"/>
    </row>
    <row r="16" spans="2:19" ht="28.8" x14ac:dyDescent="0.3">
      <c r="B16" s="69"/>
      <c r="C16" s="294"/>
      <c r="D16" s="6" t="s">
        <v>193</v>
      </c>
      <c r="E16" s="127"/>
      <c r="F16" s="181"/>
      <c r="G16" s="270" t="s">
        <v>252</v>
      </c>
      <c r="H16" s="271"/>
      <c r="I16" s="121"/>
      <c r="J16" s="74"/>
      <c r="K16" s="71"/>
      <c r="M16" s="192"/>
      <c r="N16" s="192"/>
      <c r="O16" s="194"/>
      <c r="P16" s="192"/>
      <c r="Q16" s="192"/>
      <c r="R16" s="192"/>
      <c r="S16" s="192"/>
    </row>
    <row r="17" spans="2:19" ht="28.8" x14ac:dyDescent="0.3">
      <c r="B17" s="65"/>
      <c r="C17" s="294"/>
      <c r="D17" s="6" t="s">
        <v>213</v>
      </c>
      <c r="E17" s="127"/>
      <c r="F17" s="179"/>
      <c r="G17" s="270" t="s">
        <v>253</v>
      </c>
      <c r="H17" s="271"/>
      <c r="I17" s="121"/>
      <c r="J17" s="74"/>
      <c r="K17" s="66"/>
      <c r="M17" s="192"/>
      <c r="N17" s="195"/>
      <c r="O17" s="192"/>
      <c r="P17" s="192"/>
      <c r="Q17" s="192"/>
      <c r="R17" s="192"/>
      <c r="S17" s="192"/>
    </row>
    <row r="18" spans="2:19" ht="28.8" customHeight="1" x14ac:dyDescent="0.3">
      <c r="B18" s="65"/>
      <c r="C18" s="294"/>
      <c r="D18" s="6" t="s">
        <v>224</v>
      </c>
      <c r="E18" s="127"/>
      <c r="G18" s="270" t="s">
        <v>256</v>
      </c>
      <c r="H18" s="271"/>
      <c r="I18" s="121"/>
      <c r="J18" s="74"/>
      <c r="K18" s="66"/>
      <c r="M18" s="192"/>
      <c r="N18" s="199"/>
      <c r="O18" s="200"/>
      <c r="P18" s="192"/>
      <c r="Q18" s="192"/>
      <c r="R18" s="192"/>
      <c r="S18" s="192"/>
    </row>
    <row r="19" spans="2:19" ht="29.4" thickBot="1" x14ac:dyDescent="0.35">
      <c r="B19" s="69"/>
      <c r="C19" s="295"/>
      <c r="D19" s="114" t="s">
        <v>229</v>
      </c>
      <c r="E19" s="119"/>
      <c r="F19" s="168"/>
      <c r="G19" s="270" t="s">
        <v>220</v>
      </c>
      <c r="H19" s="271"/>
      <c r="I19" s="121"/>
      <c r="J19" s="70"/>
      <c r="K19" s="71"/>
      <c r="M19" s="192"/>
      <c r="N19" s="199"/>
      <c r="O19" s="200"/>
      <c r="P19" s="192"/>
      <c r="Q19" s="192"/>
      <c r="R19" s="192"/>
      <c r="S19" s="192"/>
    </row>
    <row r="20" spans="2:19" x14ac:dyDescent="0.3">
      <c r="B20" s="69"/>
      <c r="C20" s="306" t="s">
        <v>4</v>
      </c>
      <c r="D20" s="110" t="s">
        <v>155</v>
      </c>
      <c r="E20" s="78"/>
      <c r="F20" s="70"/>
      <c r="G20" s="270" t="s">
        <v>254</v>
      </c>
      <c r="H20" s="271"/>
      <c r="I20" s="121"/>
      <c r="J20" s="70"/>
      <c r="K20" s="71"/>
      <c r="M20" s="192"/>
      <c r="N20" s="199"/>
      <c r="O20" s="196"/>
      <c r="P20" s="192"/>
      <c r="Q20" s="192"/>
      <c r="R20" s="192"/>
      <c r="S20" s="192"/>
    </row>
    <row r="21" spans="2:19" x14ac:dyDescent="0.3">
      <c r="B21" s="65"/>
      <c r="C21" s="294"/>
      <c r="D21" s="6" t="s">
        <v>154</v>
      </c>
      <c r="E21" s="78"/>
      <c r="F21" s="70"/>
      <c r="G21" s="270" t="s">
        <v>255</v>
      </c>
      <c r="H21" s="271"/>
      <c r="I21" s="121"/>
      <c r="J21" s="70"/>
      <c r="K21" s="66"/>
      <c r="M21" s="192"/>
      <c r="N21" s="192"/>
      <c r="O21" s="200"/>
      <c r="P21" s="192"/>
      <c r="Q21" s="192"/>
      <c r="R21" s="192"/>
      <c r="S21" s="192"/>
    </row>
    <row r="22" spans="2:19" ht="28.8" x14ac:dyDescent="0.3">
      <c r="B22" s="69"/>
      <c r="C22" s="294"/>
      <c r="D22" s="6" t="s">
        <v>193</v>
      </c>
      <c r="E22" s="127"/>
      <c r="F22" s="70"/>
      <c r="G22" s="270" t="s">
        <v>5</v>
      </c>
      <c r="H22" s="271"/>
      <c r="I22" s="121"/>
      <c r="J22" s="74"/>
      <c r="K22" s="71"/>
      <c r="M22" s="192"/>
      <c r="N22" s="192"/>
      <c r="O22" s="192"/>
      <c r="P22" s="192"/>
      <c r="Q22" s="192"/>
      <c r="R22" s="192"/>
      <c r="S22" s="192"/>
    </row>
    <row r="23" spans="2:19" ht="28.8" x14ac:dyDescent="0.3">
      <c r="B23" s="65"/>
      <c r="C23" s="294"/>
      <c r="D23" s="6" t="s">
        <v>213</v>
      </c>
      <c r="E23" s="127"/>
      <c r="F23" s="178"/>
      <c r="G23" s="270" t="s">
        <v>165</v>
      </c>
      <c r="H23" s="271"/>
      <c r="I23" s="121"/>
      <c r="J23" s="74"/>
      <c r="K23" s="66"/>
      <c r="M23" s="192"/>
      <c r="N23" s="192"/>
      <c r="O23" s="196"/>
      <c r="P23" s="192"/>
      <c r="Q23" s="192"/>
      <c r="R23" s="192"/>
      <c r="S23" s="192"/>
    </row>
    <row r="24" spans="2:19" ht="28.8" customHeight="1" x14ac:dyDescent="0.3">
      <c r="B24" s="69"/>
      <c r="C24" s="294"/>
      <c r="D24" s="6" t="s">
        <v>224</v>
      </c>
      <c r="E24" s="127"/>
      <c r="F24" s="70"/>
      <c r="G24" s="70"/>
      <c r="H24" s="74"/>
      <c r="I24" s="74"/>
      <c r="J24" s="74"/>
      <c r="K24" s="71"/>
      <c r="M24" s="192"/>
      <c r="N24" s="192"/>
      <c r="O24" s="192"/>
      <c r="P24" s="192"/>
      <c r="Q24" s="192"/>
      <c r="R24" s="192"/>
      <c r="S24" s="192"/>
    </row>
    <row r="25" spans="2:19" ht="29.4" thickBot="1" x14ac:dyDescent="0.35">
      <c r="B25" s="69"/>
      <c r="C25" s="294"/>
      <c r="D25" s="6" t="s">
        <v>229</v>
      </c>
      <c r="E25" s="119"/>
      <c r="F25" s="70"/>
      <c r="G25" s="70"/>
      <c r="H25" s="74"/>
      <c r="I25" s="74"/>
      <c r="J25" s="74"/>
      <c r="K25" s="71"/>
      <c r="M25" s="192"/>
      <c r="N25" s="192"/>
      <c r="O25" s="194"/>
      <c r="P25" s="192"/>
      <c r="Q25" s="192"/>
      <c r="R25" s="192"/>
      <c r="S25" s="192"/>
    </row>
    <row r="26" spans="2:19" ht="43.2" x14ac:dyDescent="0.3">
      <c r="B26" s="69"/>
      <c r="C26" s="294"/>
      <c r="D26" s="7" t="s">
        <v>152</v>
      </c>
      <c r="E26" s="78"/>
      <c r="F26" s="79" t="s">
        <v>207</v>
      </c>
      <c r="G26" s="70"/>
      <c r="H26" s="74"/>
      <c r="I26" s="74"/>
      <c r="J26" s="74"/>
      <c r="K26" s="71"/>
      <c r="M26" s="192"/>
      <c r="N26" s="192"/>
      <c r="O26" s="194"/>
      <c r="P26" s="192"/>
      <c r="Q26" s="194"/>
      <c r="R26" s="192"/>
      <c r="S26" s="192"/>
    </row>
    <row r="27" spans="2:19" ht="28.8" customHeight="1" thickBot="1" x14ac:dyDescent="0.35">
      <c r="B27" s="69"/>
      <c r="C27" s="295"/>
      <c r="D27" s="117" t="s">
        <v>167</v>
      </c>
      <c r="E27" s="115"/>
      <c r="F27" s="120" t="str">
        <f>IF(E20=0, "", VLOOKUP($E$26,'List Options'!$P$3:$Q$6,2,FALSE)*E27/3.785)</f>
        <v/>
      </c>
      <c r="G27" s="70"/>
      <c r="H27" s="74"/>
      <c r="I27" s="74"/>
      <c r="J27" s="74"/>
      <c r="K27" s="71"/>
      <c r="M27" s="192"/>
      <c r="N27" s="192"/>
      <c r="O27" s="194"/>
      <c r="P27" s="192"/>
      <c r="Q27" s="194"/>
      <c r="R27" s="192"/>
      <c r="S27" s="192"/>
    </row>
    <row r="28" spans="2:19" x14ac:dyDescent="0.3">
      <c r="B28" s="76"/>
      <c r="C28" s="306" t="s">
        <v>214</v>
      </c>
      <c r="D28" s="110" t="s">
        <v>219</v>
      </c>
      <c r="E28" s="75"/>
      <c r="F28" s="74"/>
      <c r="G28" s="70"/>
      <c r="H28" s="74"/>
      <c r="I28" s="74"/>
      <c r="J28" s="74"/>
      <c r="K28" s="66"/>
      <c r="M28" s="192"/>
      <c r="N28" s="192"/>
      <c r="O28" s="194"/>
      <c r="P28" s="192"/>
      <c r="Q28" s="194"/>
      <c r="R28" s="192"/>
      <c r="S28" s="192"/>
    </row>
    <row r="29" spans="2:19" x14ac:dyDescent="0.3">
      <c r="B29" s="65"/>
      <c r="C29" s="294"/>
      <c r="D29" s="6" t="s">
        <v>209</v>
      </c>
      <c r="E29" s="78"/>
      <c r="F29" s="74"/>
      <c r="G29" s="70"/>
      <c r="H29" s="74"/>
      <c r="I29" s="74"/>
      <c r="J29" s="74"/>
      <c r="K29" s="66"/>
      <c r="M29" s="192"/>
      <c r="N29" s="192"/>
      <c r="O29" s="194"/>
      <c r="P29" s="192"/>
      <c r="Q29" s="192"/>
      <c r="R29" s="192"/>
      <c r="S29" s="192"/>
    </row>
    <row r="30" spans="2:19" ht="28.8" x14ac:dyDescent="0.3">
      <c r="B30" s="65"/>
      <c r="C30" s="294"/>
      <c r="D30" s="7" t="s">
        <v>208</v>
      </c>
      <c r="E30" s="78"/>
      <c r="F30" s="74"/>
      <c r="G30" s="70"/>
      <c r="H30" s="74"/>
      <c r="I30" s="74"/>
      <c r="J30" s="74"/>
      <c r="K30" s="66"/>
      <c r="M30" s="192"/>
      <c r="N30" s="192"/>
      <c r="O30" s="196"/>
      <c r="P30" s="192"/>
      <c r="Q30" s="196"/>
      <c r="R30" s="192"/>
      <c r="S30" s="192"/>
    </row>
    <row r="31" spans="2:19" ht="28.8" x14ac:dyDescent="0.3">
      <c r="B31" s="76"/>
      <c r="C31" s="294"/>
      <c r="D31" s="6" t="s">
        <v>193</v>
      </c>
      <c r="E31" s="127"/>
      <c r="F31" s="74"/>
      <c r="G31" s="70"/>
      <c r="H31" s="74"/>
      <c r="I31" s="74"/>
      <c r="J31" s="74"/>
      <c r="K31" s="66"/>
      <c r="M31" s="193"/>
      <c r="N31" s="192"/>
      <c r="O31" s="192"/>
      <c r="P31" s="192"/>
      <c r="Q31" s="192"/>
      <c r="R31" s="192"/>
      <c r="S31" s="192"/>
    </row>
    <row r="32" spans="2:19" ht="28.8" x14ac:dyDescent="0.3">
      <c r="B32" s="76"/>
      <c r="C32" s="294"/>
      <c r="D32" s="6" t="s">
        <v>213</v>
      </c>
      <c r="E32" s="127"/>
      <c r="F32" s="251"/>
      <c r="G32" s="70"/>
      <c r="H32" s="74"/>
      <c r="I32" s="74"/>
      <c r="J32" s="74"/>
      <c r="K32" s="66"/>
      <c r="M32" s="193"/>
      <c r="N32" s="192"/>
      <c r="O32" s="192"/>
      <c r="P32" s="192"/>
      <c r="Q32" s="192"/>
      <c r="R32" s="192"/>
      <c r="S32" s="192"/>
    </row>
    <row r="33" spans="2:20" ht="28.8" customHeight="1" x14ac:dyDescent="0.3">
      <c r="B33" s="76"/>
      <c r="C33" s="294"/>
      <c r="D33" s="6" t="s">
        <v>224</v>
      </c>
      <c r="E33" s="127"/>
      <c r="F33" s="180"/>
      <c r="G33" s="181"/>
      <c r="H33" s="74"/>
      <c r="I33" s="74"/>
      <c r="J33" s="74"/>
      <c r="K33" s="66"/>
      <c r="M33" s="192"/>
      <c r="N33" s="192"/>
      <c r="O33" s="192"/>
      <c r="P33" s="192"/>
      <c r="Q33" s="192"/>
      <c r="R33" s="192"/>
      <c r="S33" s="197"/>
      <c r="T33" s="90"/>
    </row>
    <row r="34" spans="2:20" ht="29.4" thickBot="1" x14ac:dyDescent="0.35">
      <c r="B34" s="76"/>
      <c r="C34" s="295"/>
      <c r="D34" s="114" t="s">
        <v>229</v>
      </c>
      <c r="E34" s="119"/>
      <c r="G34" s="70"/>
      <c r="H34" s="74"/>
      <c r="I34" s="74"/>
      <c r="J34" s="74"/>
      <c r="K34" s="66"/>
      <c r="M34" s="192"/>
      <c r="N34" s="192"/>
      <c r="O34" s="192"/>
      <c r="P34" s="192"/>
      <c r="Q34" s="192"/>
      <c r="R34" s="192"/>
      <c r="S34" s="198"/>
      <c r="T34" s="91"/>
    </row>
    <row r="35" spans="2:20" x14ac:dyDescent="0.3">
      <c r="B35" s="65"/>
      <c r="C35" s="282" t="s">
        <v>5</v>
      </c>
      <c r="D35" s="113" t="s">
        <v>232</v>
      </c>
      <c r="E35" s="116"/>
      <c r="F35" s="77"/>
      <c r="G35" s="70"/>
      <c r="H35" s="74"/>
      <c r="I35" s="74"/>
      <c r="J35" s="74"/>
      <c r="K35" s="66"/>
      <c r="M35" s="192"/>
      <c r="N35" s="192"/>
      <c r="O35" s="194"/>
      <c r="P35" s="192"/>
      <c r="Q35" s="194"/>
      <c r="R35" s="192"/>
      <c r="S35" s="198"/>
      <c r="T35" s="91"/>
    </row>
    <row r="36" spans="2:20" x14ac:dyDescent="0.3">
      <c r="B36" s="69"/>
      <c r="C36" s="283"/>
      <c r="D36" s="7" t="s">
        <v>233</v>
      </c>
      <c r="E36" s="78"/>
      <c r="F36" s="74"/>
      <c r="G36" s="70"/>
      <c r="H36" s="74"/>
      <c r="I36" s="74"/>
      <c r="J36" s="74"/>
      <c r="K36" s="71"/>
      <c r="M36" s="192"/>
      <c r="N36" s="192"/>
      <c r="O36" s="192"/>
      <c r="P36" s="192"/>
      <c r="Q36" s="194"/>
      <c r="R36" s="192"/>
      <c r="S36" s="197"/>
      <c r="T36" s="90"/>
    </row>
    <row r="37" spans="2:20" ht="43.2" x14ac:dyDescent="0.3">
      <c r="B37" s="69"/>
      <c r="C37" s="283"/>
      <c r="D37" s="7" t="s">
        <v>152</v>
      </c>
      <c r="E37" s="78"/>
      <c r="F37" s="79" t="s">
        <v>207</v>
      </c>
      <c r="H37" s="74"/>
      <c r="I37" s="74"/>
      <c r="J37" s="74"/>
      <c r="K37" s="71"/>
      <c r="M37" s="192"/>
      <c r="N37" s="192"/>
      <c r="O37" s="194"/>
      <c r="P37" s="192"/>
      <c r="Q37" s="194"/>
      <c r="R37" s="192"/>
      <c r="S37" s="192"/>
    </row>
    <row r="38" spans="2:20" ht="28.8" customHeight="1" thickBot="1" x14ac:dyDescent="0.35">
      <c r="B38" s="69"/>
      <c r="C38" s="284"/>
      <c r="D38" s="117" t="s">
        <v>167</v>
      </c>
      <c r="E38" s="115"/>
      <c r="F38" s="120" t="str">
        <f>IF(E35=0, "", VLOOKUP($E$37,'List Options'!$P$3:$Q$6,2,FALSE)*E38/3.785)</f>
        <v/>
      </c>
      <c r="G38" s="74"/>
      <c r="H38" s="74"/>
      <c r="I38" s="74"/>
      <c r="J38" s="74"/>
      <c r="K38" s="71"/>
      <c r="M38" s="192"/>
      <c r="N38" s="192"/>
      <c r="O38" s="192"/>
      <c r="P38" s="192"/>
      <c r="Q38" s="192"/>
      <c r="R38" s="192"/>
      <c r="S38" s="192"/>
    </row>
    <row r="39" spans="2:20" ht="14.4" customHeight="1" x14ac:dyDescent="0.3">
      <c r="B39" s="69"/>
      <c r="C39" s="296" t="s">
        <v>165</v>
      </c>
      <c r="D39" s="113" t="s">
        <v>232</v>
      </c>
      <c r="E39" s="75"/>
      <c r="F39" s="77"/>
      <c r="G39" s="74"/>
      <c r="H39" s="74"/>
      <c r="I39" s="74"/>
      <c r="J39" s="74"/>
      <c r="K39" s="71"/>
      <c r="M39" s="192"/>
      <c r="N39" s="192"/>
      <c r="O39" s="196"/>
      <c r="P39" s="192"/>
      <c r="Q39" s="196"/>
      <c r="R39" s="192"/>
      <c r="S39" s="192"/>
    </row>
    <row r="40" spans="2:20" ht="14.4" customHeight="1" x14ac:dyDescent="0.3">
      <c r="B40" s="69"/>
      <c r="C40" s="297"/>
      <c r="D40" s="7" t="s">
        <v>233</v>
      </c>
      <c r="E40" s="78"/>
      <c r="F40" s="74"/>
      <c r="G40" s="74"/>
      <c r="H40" s="74"/>
      <c r="I40" s="74"/>
      <c r="J40" s="74"/>
      <c r="K40" s="71"/>
      <c r="M40" s="192"/>
      <c r="N40" s="192"/>
      <c r="O40" s="192"/>
      <c r="P40" s="192"/>
      <c r="Q40" s="192"/>
      <c r="R40" s="192"/>
      <c r="S40" s="192"/>
    </row>
    <row r="41" spans="2:20" ht="43.2" x14ac:dyDescent="0.3">
      <c r="B41" s="69"/>
      <c r="C41" s="297"/>
      <c r="D41" s="7" t="s">
        <v>152</v>
      </c>
      <c r="E41" s="78"/>
      <c r="F41" s="79" t="s">
        <v>207</v>
      </c>
      <c r="G41" s="74"/>
      <c r="H41" s="74"/>
      <c r="I41" s="74"/>
      <c r="J41" s="74"/>
      <c r="K41" s="71"/>
      <c r="M41" s="192"/>
      <c r="N41" s="192"/>
      <c r="O41" s="192"/>
      <c r="P41" s="192"/>
      <c r="Q41" s="192"/>
      <c r="R41" s="192"/>
      <c r="S41" s="192"/>
    </row>
    <row r="42" spans="2:20" ht="28.8" customHeight="1" x14ac:dyDescent="0.3">
      <c r="B42" s="69"/>
      <c r="C42" s="298"/>
      <c r="D42" s="7" t="s">
        <v>167</v>
      </c>
      <c r="E42" s="78"/>
      <c r="F42" s="111" t="str">
        <f>IF(E39=0,"", IF($E$41="Natural Gas","",VLOOKUP($E$41,'List Options'!$P$3:$Q$6,2,FALSE)*E42/3.785))</f>
        <v/>
      </c>
      <c r="G42" s="74"/>
      <c r="H42" s="74"/>
      <c r="I42" s="74"/>
      <c r="J42" s="74"/>
      <c r="K42" s="71"/>
      <c r="M42" s="192"/>
      <c r="N42" s="192"/>
      <c r="O42" s="192"/>
      <c r="P42" s="192"/>
      <c r="Q42" s="192"/>
      <c r="R42" s="192"/>
      <c r="S42" s="192"/>
    </row>
    <row r="43" spans="2:20" ht="14.4" customHeight="1" x14ac:dyDescent="0.3">
      <c r="B43" s="69"/>
      <c r="C43" s="74"/>
      <c r="D43" s="74"/>
      <c r="E43" s="74"/>
      <c r="F43" s="74"/>
      <c r="H43" s="74"/>
      <c r="I43" s="74"/>
      <c r="J43" s="74"/>
      <c r="K43" s="71"/>
      <c r="M43" s="192"/>
      <c r="N43" s="192"/>
      <c r="O43" s="192"/>
      <c r="P43" s="192"/>
      <c r="Q43" s="192"/>
      <c r="R43" s="192"/>
      <c r="S43" s="192"/>
    </row>
    <row r="44" spans="2:20" x14ac:dyDescent="0.3">
      <c r="B44" s="65"/>
      <c r="C44" s="70"/>
      <c r="D44" s="70"/>
      <c r="E44" s="70"/>
      <c r="F44" s="70"/>
      <c r="G44" s="70"/>
      <c r="H44" s="70"/>
      <c r="I44" s="74"/>
      <c r="J44" s="74"/>
      <c r="K44" s="71"/>
      <c r="M44" s="192"/>
      <c r="N44" s="192"/>
      <c r="O44" s="192"/>
      <c r="P44" s="192"/>
      <c r="Q44" s="192"/>
      <c r="R44" s="192"/>
      <c r="S44" s="192"/>
    </row>
    <row r="45" spans="2:20" ht="15.6" x14ac:dyDescent="0.3">
      <c r="B45" s="69"/>
      <c r="C45" s="275" t="s">
        <v>211</v>
      </c>
      <c r="D45" s="276"/>
      <c r="E45" s="276"/>
      <c r="F45" s="276"/>
      <c r="G45" s="276"/>
      <c r="H45" s="276"/>
      <c r="I45" s="276"/>
      <c r="J45" s="277"/>
      <c r="K45" s="71"/>
      <c r="M45" s="192"/>
      <c r="N45" s="192"/>
      <c r="O45" s="192"/>
      <c r="P45" s="192"/>
      <c r="Q45" s="192"/>
      <c r="R45" s="192"/>
      <c r="S45" s="192"/>
    </row>
    <row r="46" spans="2:20" x14ac:dyDescent="0.3">
      <c r="B46" s="69"/>
      <c r="C46" s="74"/>
      <c r="D46" s="74"/>
      <c r="E46" s="74"/>
      <c r="F46" s="74"/>
      <c r="G46" s="74"/>
      <c r="H46" s="74"/>
      <c r="I46" s="74"/>
      <c r="J46" s="74"/>
      <c r="K46" s="71"/>
      <c r="M46" s="192"/>
      <c r="N46" s="192"/>
      <c r="O46" s="192"/>
      <c r="P46" s="192"/>
      <c r="Q46" s="192"/>
      <c r="R46" s="192"/>
      <c r="S46" s="192"/>
    </row>
    <row r="47" spans="2:20" x14ac:dyDescent="0.3">
      <c r="B47" s="69"/>
      <c r="C47" s="303" t="s">
        <v>212</v>
      </c>
      <c r="D47" s="304"/>
      <c r="E47" s="304"/>
      <c r="F47" s="304"/>
      <c r="G47" s="304"/>
      <c r="H47" s="304"/>
      <c r="I47" s="304"/>
      <c r="J47" s="305"/>
      <c r="K47" s="71"/>
      <c r="M47" s="192"/>
      <c r="N47" s="192"/>
      <c r="O47" s="192"/>
      <c r="P47" s="192"/>
      <c r="Q47" s="192"/>
      <c r="R47" s="192"/>
      <c r="S47" s="192"/>
    </row>
    <row r="48" spans="2:20" x14ac:dyDescent="0.3">
      <c r="B48" s="65"/>
      <c r="C48" s="70"/>
      <c r="D48" s="70"/>
      <c r="E48" s="70"/>
      <c r="F48" s="70"/>
      <c r="G48" s="70"/>
      <c r="H48" s="70"/>
      <c r="I48" s="74"/>
      <c r="J48" s="74"/>
      <c r="K48" s="71"/>
      <c r="M48" s="192"/>
      <c r="N48" s="192"/>
      <c r="O48" s="192"/>
      <c r="P48" s="192"/>
      <c r="Q48" s="192"/>
      <c r="R48" s="192"/>
      <c r="S48" s="192"/>
    </row>
    <row r="49" spans="2:19" ht="43.2" x14ac:dyDescent="0.3">
      <c r="B49" s="65"/>
      <c r="C49" s="81" t="s">
        <v>151</v>
      </c>
      <c r="D49" s="81" t="s">
        <v>8</v>
      </c>
      <c r="E49" s="81" t="s">
        <v>206</v>
      </c>
      <c r="F49" s="79" t="s">
        <v>198</v>
      </c>
      <c r="G49" s="79" t="s">
        <v>9</v>
      </c>
      <c r="H49" s="79" t="s">
        <v>230</v>
      </c>
      <c r="I49" s="74"/>
      <c r="J49" s="74"/>
      <c r="K49" s="71"/>
      <c r="M49" s="192"/>
      <c r="N49" s="192"/>
      <c r="O49" s="192"/>
      <c r="P49" s="192"/>
      <c r="Q49" s="192"/>
      <c r="R49" s="192"/>
      <c r="S49" s="192"/>
    </row>
    <row r="50" spans="2:19" x14ac:dyDescent="0.3">
      <c r="B50" s="65"/>
      <c r="C50" s="82" t="s">
        <v>11</v>
      </c>
      <c r="D50" s="83"/>
      <c r="E50" s="83"/>
      <c r="F50" s="83"/>
      <c r="G50" s="83"/>
      <c r="H50" s="84"/>
      <c r="I50" s="74"/>
      <c r="J50" s="74"/>
      <c r="K50" s="71"/>
      <c r="M50" s="192"/>
      <c r="N50" s="192"/>
      <c r="O50" s="192"/>
      <c r="P50" s="192"/>
      <c r="Q50" s="192"/>
      <c r="R50" s="192"/>
      <c r="S50" s="192"/>
    </row>
    <row r="51" spans="2:19" x14ac:dyDescent="0.3">
      <c r="B51" s="65"/>
      <c r="C51" s="75" t="s">
        <v>12</v>
      </c>
      <c r="D51" s="75"/>
      <c r="E51" s="75"/>
      <c r="F51" s="85">
        <f>IF(ISBLANK($C51),"",VLOOKUP($C51,'List Options'!$D$4:$M$111,2,FALSE))</f>
        <v>4</v>
      </c>
      <c r="G51" s="85">
        <f>IF(ISBLANK($C51),"",VLOOKUP($C51,'List Options'!$D$4:$M$111,4,FALSE))</f>
        <v>25</v>
      </c>
      <c r="H51" s="85">
        <f>IF(ISBLANK($C51),"",VLOOKUP($C51,'List Options'!$D$4:$M$111,6,FALSE)-VLOOKUP($C51,'List Options'!$D$4:$M$111,4,FALSE))</f>
        <v>0</v>
      </c>
      <c r="I51" s="74"/>
      <c r="J51" s="74"/>
      <c r="K51" s="71"/>
      <c r="M51" s="192"/>
      <c r="N51" s="192"/>
      <c r="O51" s="192"/>
      <c r="P51" s="192"/>
      <c r="Q51" s="192"/>
      <c r="R51" s="192"/>
      <c r="S51" s="192"/>
    </row>
    <row r="52" spans="2:19" x14ac:dyDescent="0.3">
      <c r="B52" s="65"/>
      <c r="C52" s="78" t="s">
        <v>13</v>
      </c>
      <c r="D52" s="78"/>
      <c r="E52" s="78"/>
      <c r="F52" s="85">
        <f>IF(ISBLANK($C52),"",VLOOKUP($C52,'List Options'!$D$4:$M$111,2,FALSE))</f>
        <v>0</v>
      </c>
      <c r="G52" s="85">
        <f>IF(ISBLANK($C52),"",VLOOKUP($C52,'List Options'!$D$4:$M$111,4,FALSE))</f>
        <v>3</v>
      </c>
      <c r="H52" s="85">
        <f>IF(ISBLANK($C52),"",VLOOKUP($C52,'List Options'!$D$4:$M$111,6,FALSE)-VLOOKUP($C52,'List Options'!$D$4:$M$111,4,FALSE))</f>
        <v>5</v>
      </c>
      <c r="I52" s="74"/>
      <c r="J52" s="74"/>
      <c r="K52" s="71"/>
      <c r="M52" s="192"/>
      <c r="N52" s="192"/>
      <c r="O52" s="192"/>
      <c r="P52" s="192"/>
      <c r="Q52" s="192"/>
      <c r="R52" s="192"/>
      <c r="S52" s="192"/>
    </row>
    <row r="53" spans="2:19" x14ac:dyDescent="0.3">
      <c r="B53" s="65"/>
      <c r="C53" s="78" t="s">
        <v>14</v>
      </c>
      <c r="D53" s="78"/>
      <c r="E53" s="78"/>
      <c r="F53" s="85">
        <f>IF(ISBLANK($C53),"",VLOOKUP($C53,'List Options'!$D$4:$M$111,2,FALSE))</f>
        <v>0</v>
      </c>
      <c r="G53" s="85">
        <f>IF(ISBLANK($C53),"",VLOOKUP($C53,'List Options'!$D$4:$M$111,4,FALSE))</f>
        <v>100</v>
      </c>
      <c r="H53" s="85">
        <f>IF(ISBLANK($C53),"",VLOOKUP($C53,'List Options'!$D$4:$M$111,6,FALSE)-VLOOKUP($C53,'List Options'!$D$4:$M$111,4,FALSE))</f>
        <v>0</v>
      </c>
      <c r="I53" s="74"/>
      <c r="J53" s="74"/>
      <c r="K53" s="71"/>
      <c r="M53" s="192"/>
      <c r="N53" s="192"/>
      <c r="O53" s="192"/>
      <c r="P53" s="192"/>
      <c r="Q53" s="192"/>
      <c r="R53" s="192"/>
      <c r="S53" s="192"/>
    </row>
    <row r="54" spans="2:19" x14ac:dyDescent="0.3">
      <c r="B54" s="65"/>
      <c r="C54" s="78" t="s">
        <v>12</v>
      </c>
      <c r="D54" s="78"/>
      <c r="E54" s="78"/>
      <c r="F54" s="85">
        <f>IF(ISBLANK($C54),"",VLOOKUP($C54,'List Options'!$D$4:$M$111,2,FALSE))</f>
        <v>4</v>
      </c>
      <c r="G54" s="85">
        <f>IF(ISBLANK($C54),"",VLOOKUP($C54,'List Options'!$D$4:$M$111,4,FALSE))</f>
        <v>25</v>
      </c>
      <c r="H54" s="85">
        <f>IF(ISBLANK($C54),"",VLOOKUP($C54,'List Options'!$D$4:$M$111,6,FALSE)-VLOOKUP($C54,'List Options'!$D$4:$M$111,4,FALSE))</f>
        <v>0</v>
      </c>
      <c r="I54" s="74"/>
      <c r="J54" s="74"/>
      <c r="K54" s="71"/>
      <c r="M54" s="192"/>
      <c r="N54" s="192"/>
      <c r="O54" s="192"/>
      <c r="P54" s="192"/>
      <c r="Q54" s="192"/>
      <c r="R54" s="192"/>
      <c r="S54" s="192"/>
    </row>
    <row r="55" spans="2:19" x14ac:dyDescent="0.3">
      <c r="B55" s="65"/>
      <c r="C55" s="78"/>
      <c r="D55" s="78"/>
      <c r="E55" s="78"/>
      <c r="F55" s="85" t="str">
        <f>IF(ISBLANK($C55),"",VLOOKUP($C55,'List Options'!$D$4:$M$111,2,FALSE))</f>
        <v/>
      </c>
      <c r="G55" s="85" t="str">
        <f>IF(ISBLANK($C55),"",VLOOKUP($C55,'List Options'!$D$4:$M$111,4,FALSE))</f>
        <v/>
      </c>
      <c r="H55" s="85" t="str">
        <f>IF(ISBLANK($C55),"",VLOOKUP($C55,'List Options'!$D$4:$M$111,6,FALSE)-VLOOKUP($C55,'List Options'!$D$4:$M$111,4,FALSE))</f>
        <v/>
      </c>
      <c r="I55" s="74"/>
      <c r="J55" s="74"/>
      <c r="K55" s="71"/>
      <c r="M55" s="192"/>
      <c r="N55" s="192"/>
      <c r="O55" s="192"/>
      <c r="P55" s="192"/>
      <c r="Q55" s="192"/>
      <c r="R55" s="192"/>
      <c r="S55" s="192"/>
    </row>
    <row r="56" spans="2:19" x14ac:dyDescent="0.3">
      <c r="B56" s="65"/>
      <c r="C56" s="78"/>
      <c r="D56" s="78"/>
      <c r="E56" s="78"/>
      <c r="F56" s="85" t="str">
        <f>IF(ISBLANK($C56),"",VLOOKUP($C56,'List Options'!$D$4:$M$111,2,FALSE))</f>
        <v/>
      </c>
      <c r="G56" s="85" t="str">
        <f>IF(ISBLANK($C56),"",VLOOKUP($C56,'List Options'!$D$4:$M$111,4,FALSE))</f>
        <v/>
      </c>
      <c r="H56" s="85" t="str">
        <f>IF(ISBLANK($C56),"",VLOOKUP($C56,'List Options'!$D$4:$M$111,6,FALSE)-VLOOKUP($C56,'List Options'!$D$4:$M$111,4,FALSE))</f>
        <v/>
      </c>
      <c r="I56" s="74"/>
      <c r="J56" s="74"/>
      <c r="K56" s="71"/>
      <c r="M56" s="192"/>
      <c r="N56" s="192"/>
      <c r="O56" s="192"/>
      <c r="P56" s="192"/>
      <c r="Q56" s="192"/>
      <c r="R56" s="192"/>
      <c r="S56" s="192"/>
    </row>
    <row r="57" spans="2:19" x14ac:dyDescent="0.3">
      <c r="B57" s="65"/>
      <c r="C57" s="82" t="s">
        <v>15</v>
      </c>
      <c r="D57" s="83"/>
      <c r="E57" s="83"/>
      <c r="F57" s="83"/>
      <c r="G57" s="83"/>
      <c r="H57" s="103"/>
      <c r="I57" s="74"/>
      <c r="J57" s="74"/>
      <c r="K57" s="71"/>
      <c r="M57" s="192"/>
      <c r="N57" s="192"/>
      <c r="O57" s="192"/>
      <c r="P57" s="192"/>
      <c r="Q57" s="192"/>
      <c r="R57" s="192"/>
      <c r="S57" s="192"/>
    </row>
    <row r="58" spans="2:19" x14ac:dyDescent="0.3">
      <c r="B58" s="65"/>
      <c r="C58" s="78" t="s">
        <v>16</v>
      </c>
      <c r="D58" s="78"/>
      <c r="E58" s="78"/>
      <c r="F58" s="85">
        <f>IF(ISBLANK($C58),"",VLOOKUP($C58,'List Options'!$D$4:$M$111,2,FALSE))</f>
        <v>0</v>
      </c>
      <c r="G58" s="85">
        <f>IF(ISBLANK($C58),"",VLOOKUP($C58,'List Options'!$D$4:$M$111,4,FALSE))</f>
        <v>1200</v>
      </c>
      <c r="H58" s="85">
        <f>IF(ISBLANK($C58),"",VLOOKUP($C58,'List Options'!$D$4:$M$111,6,FALSE)-VLOOKUP($C58,'List Options'!$D$4:$M$111,4,FALSE))</f>
        <v>3000</v>
      </c>
      <c r="I58" s="74"/>
      <c r="J58" s="74"/>
      <c r="K58" s="71"/>
      <c r="M58" s="192"/>
      <c r="N58" s="192"/>
      <c r="O58" s="192"/>
      <c r="P58" s="192"/>
      <c r="Q58" s="192"/>
      <c r="R58" s="192"/>
      <c r="S58" s="192"/>
    </row>
    <row r="59" spans="2:19" x14ac:dyDescent="0.3">
      <c r="B59" s="65"/>
      <c r="C59" s="78" t="s">
        <v>17</v>
      </c>
      <c r="D59" s="78"/>
      <c r="E59" s="78"/>
      <c r="F59" s="85">
        <f>IF(ISBLANK($C59),"",VLOOKUP($C59,'List Options'!$D$4:$M$111,2,FALSE))</f>
        <v>1</v>
      </c>
      <c r="G59" s="85">
        <f>IF(ISBLANK($C59),"",VLOOKUP($C59,'List Options'!$D$4:$M$111,4,FALSE))</f>
        <v>2150</v>
      </c>
      <c r="H59" s="85">
        <f>IF(ISBLANK($C59),"",VLOOKUP($C59,'List Options'!$D$4:$M$111,6,FALSE)-VLOOKUP($C59,'List Options'!$D$4:$M$111,4,FALSE))</f>
        <v>0</v>
      </c>
      <c r="I59" s="74"/>
      <c r="J59" s="74"/>
      <c r="K59" s="71"/>
      <c r="M59" s="192"/>
      <c r="N59" s="192"/>
      <c r="O59" s="192"/>
      <c r="P59" s="192"/>
      <c r="Q59" s="192"/>
      <c r="R59" s="192"/>
      <c r="S59" s="192"/>
    </row>
    <row r="60" spans="2:19" x14ac:dyDescent="0.3">
      <c r="B60" s="65"/>
      <c r="C60" s="78" t="s">
        <v>18</v>
      </c>
      <c r="D60" s="78"/>
      <c r="E60" s="78"/>
      <c r="F60" s="85">
        <f>IF(ISBLANK($C60),"",VLOOKUP($C60,'List Options'!$D$4:$M$111,2,FALSE))</f>
        <v>1</v>
      </c>
      <c r="G60" s="85">
        <f>IF(ISBLANK($C60),"",VLOOKUP($C60,'List Options'!$D$4:$M$111,4,FALSE))</f>
        <v>2100</v>
      </c>
      <c r="H60" s="85">
        <f>IF(ISBLANK($C60),"",VLOOKUP($C60,'List Options'!$D$4:$M$111,6,FALSE)-VLOOKUP($C60,'List Options'!$D$4:$M$111,4,FALSE))</f>
        <v>0</v>
      </c>
      <c r="I60" s="74"/>
      <c r="J60" s="74"/>
      <c r="K60" s="71"/>
      <c r="M60" s="192"/>
      <c r="N60" s="192"/>
      <c r="O60" s="192"/>
      <c r="P60" s="192"/>
      <c r="Q60" s="192"/>
      <c r="R60" s="192"/>
      <c r="S60" s="192"/>
    </row>
    <row r="61" spans="2:19" x14ac:dyDescent="0.3">
      <c r="B61" s="65"/>
      <c r="C61" s="78" t="s">
        <v>19</v>
      </c>
      <c r="D61" s="78"/>
      <c r="E61" s="78"/>
      <c r="F61" s="85">
        <f>IF(ISBLANK($C61),"",VLOOKUP($C61,'List Options'!$D$4:$M$111,2,FALSE))</f>
        <v>0.5</v>
      </c>
      <c r="G61" s="85">
        <f>IF(ISBLANK($C61),"",VLOOKUP($C61,'List Options'!$D$4:$M$111,4,FALSE))</f>
        <v>1000</v>
      </c>
      <c r="H61" s="85">
        <f>IF(ISBLANK($C61),"",VLOOKUP($C61,'List Options'!$D$4:$M$111,6,FALSE)-VLOOKUP($C61,'List Options'!$D$4:$M$111,4,FALSE))</f>
        <v>0</v>
      </c>
      <c r="I61" s="74"/>
      <c r="J61" s="74"/>
      <c r="K61" s="71"/>
      <c r="M61" s="192"/>
      <c r="N61" s="192"/>
      <c r="O61" s="192"/>
      <c r="P61" s="192"/>
      <c r="Q61" s="192"/>
      <c r="R61" s="192"/>
      <c r="S61" s="192"/>
    </row>
    <row r="62" spans="2:19" x14ac:dyDescent="0.3">
      <c r="B62" s="65"/>
      <c r="C62" s="78"/>
      <c r="D62" s="78"/>
      <c r="E62" s="78"/>
      <c r="F62" s="85" t="str">
        <f>IF(ISBLANK($C62),"",VLOOKUP($C62,'List Options'!$D$4:$M$111,2,FALSE))</f>
        <v/>
      </c>
      <c r="G62" s="85" t="str">
        <f>IF(ISBLANK($C62),"",VLOOKUP($C62,'List Options'!$D$4:$M$111,4,FALSE))</f>
        <v/>
      </c>
      <c r="H62" s="85" t="str">
        <f>IF(ISBLANK($C62),"",VLOOKUP($C62,'List Options'!$D$4:$M$111,6,FALSE)-VLOOKUP($C62,'List Options'!$D$4:$M$111,4,FALSE))</f>
        <v/>
      </c>
      <c r="I62" s="74"/>
      <c r="J62" s="74"/>
      <c r="K62" s="71"/>
      <c r="M62" s="192"/>
      <c r="N62" s="192"/>
      <c r="O62" s="192"/>
      <c r="P62" s="192"/>
      <c r="Q62" s="192"/>
      <c r="R62" s="192"/>
      <c r="S62" s="192"/>
    </row>
    <row r="63" spans="2:19" x14ac:dyDescent="0.3">
      <c r="B63" s="65"/>
      <c r="C63" s="78"/>
      <c r="D63" s="78"/>
      <c r="E63" s="78"/>
      <c r="F63" s="85" t="str">
        <f>IF(ISBLANK($C63),"",VLOOKUP($C63,'List Options'!$D$4:$M$111,2,FALSE))</f>
        <v/>
      </c>
      <c r="G63" s="85" t="str">
        <f>IF(ISBLANK($C63),"",VLOOKUP($C63,'List Options'!$D$4:$M$111,4,FALSE))</f>
        <v/>
      </c>
      <c r="H63" s="85" t="str">
        <f>IF(ISBLANK($C63),"",VLOOKUP($C63,'List Options'!$D$4:$M$111,6,FALSE)-VLOOKUP($C63,'List Options'!$D$4:$M$111,4,FALSE))</f>
        <v/>
      </c>
      <c r="I63" s="74"/>
      <c r="J63" s="74"/>
      <c r="K63" s="71"/>
      <c r="M63" s="192"/>
      <c r="N63" s="192"/>
      <c r="O63" s="192"/>
      <c r="P63" s="192"/>
      <c r="Q63" s="192"/>
      <c r="R63" s="192"/>
      <c r="S63" s="192"/>
    </row>
    <row r="64" spans="2:19" x14ac:dyDescent="0.3">
      <c r="B64" s="65"/>
      <c r="C64" s="78"/>
      <c r="D64" s="78"/>
      <c r="E64" s="78"/>
      <c r="F64" s="85" t="str">
        <f>IF(ISBLANK($C64),"",VLOOKUP($C64,'List Options'!$D$4:$M$111,2,FALSE))</f>
        <v/>
      </c>
      <c r="G64" s="85" t="str">
        <f>IF(ISBLANK($C64),"",VLOOKUP($C64,'List Options'!$D$4:$M$111,4,FALSE))</f>
        <v/>
      </c>
      <c r="H64" s="85" t="str">
        <f>IF(ISBLANK($C64),"",VLOOKUP($C64,'List Options'!$D$4:$M$111,6,FALSE)-VLOOKUP($C64,'List Options'!$D$4:$M$111,4,FALSE))</f>
        <v/>
      </c>
      <c r="I64" s="74"/>
      <c r="J64" s="74"/>
      <c r="K64" s="71"/>
      <c r="M64" s="192"/>
      <c r="N64" s="192"/>
      <c r="O64" s="192"/>
      <c r="P64" s="192"/>
      <c r="Q64" s="192"/>
      <c r="R64" s="192"/>
      <c r="S64" s="192"/>
    </row>
    <row r="65" spans="2:19" x14ac:dyDescent="0.3">
      <c r="B65" s="65"/>
      <c r="C65" s="78"/>
      <c r="D65" s="78"/>
      <c r="E65" s="78"/>
      <c r="F65" s="85" t="str">
        <f>IF(ISBLANK($C65),"",VLOOKUP($C65,'List Options'!$D$4:$M$111,2,FALSE))</f>
        <v/>
      </c>
      <c r="G65" s="85" t="str">
        <f>IF(ISBLANK($C65),"",VLOOKUP($C65,'List Options'!$D$4:$M$111,4,FALSE))</f>
        <v/>
      </c>
      <c r="H65" s="85" t="str">
        <f>IF(ISBLANK($C65),"",VLOOKUP($C65,'List Options'!$D$4:$M$111,6,FALSE)-VLOOKUP($C65,'List Options'!$D$4:$M$111,4,FALSE))</f>
        <v/>
      </c>
      <c r="I65" s="74"/>
      <c r="J65" s="74"/>
      <c r="K65" s="71"/>
      <c r="M65" s="192"/>
      <c r="N65" s="192"/>
      <c r="O65" s="192"/>
      <c r="P65" s="192"/>
      <c r="Q65" s="192"/>
      <c r="R65" s="192"/>
      <c r="S65" s="192"/>
    </row>
    <row r="66" spans="2:19" x14ac:dyDescent="0.3">
      <c r="B66" s="65"/>
      <c r="C66" s="82" t="s">
        <v>20</v>
      </c>
      <c r="D66" s="83"/>
      <c r="E66" s="83"/>
      <c r="F66" s="83"/>
      <c r="G66" s="83"/>
      <c r="H66" s="84"/>
      <c r="I66" s="74"/>
      <c r="J66" s="74"/>
      <c r="K66" s="66"/>
      <c r="M66" s="192"/>
      <c r="N66" s="192"/>
      <c r="O66" s="192"/>
      <c r="P66" s="192"/>
      <c r="Q66" s="192"/>
      <c r="R66" s="192"/>
      <c r="S66" s="192"/>
    </row>
    <row r="67" spans="2:19" x14ac:dyDescent="0.3">
      <c r="B67" s="65"/>
      <c r="C67" s="78" t="s">
        <v>21</v>
      </c>
      <c r="D67" s="78"/>
      <c r="E67" s="78"/>
      <c r="F67" s="85">
        <f>IF(ISBLANK($C67),"",VLOOKUP($C67,'List Options'!$D$4:$M$111,2,FALSE))</f>
        <v>0</v>
      </c>
      <c r="G67" s="85">
        <f>IF(ISBLANK($C67),"",VLOOKUP($C67,'List Options'!$D$4:$M$111,4,FALSE))</f>
        <v>216</v>
      </c>
      <c r="H67" s="85">
        <f>IF(ISBLANK($C67),"",VLOOKUP($C67,'List Options'!$D$4:$M$111,6,FALSE)-VLOOKUP($C67,'List Options'!$D$4:$M$111,4,FALSE))</f>
        <v>324</v>
      </c>
      <c r="I67" s="74"/>
      <c r="J67" s="74"/>
      <c r="K67" s="71"/>
      <c r="M67" s="192"/>
      <c r="N67" s="192"/>
      <c r="O67" s="192"/>
      <c r="P67" s="192"/>
      <c r="Q67" s="192"/>
      <c r="R67" s="192"/>
      <c r="S67" s="192"/>
    </row>
    <row r="68" spans="2:19" x14ac:dyDescent="0.3">
      <c r="B68" s="65"/>
      <c r="C68" s="78" t="s">
        <v>64</v>
      </c>
      <c r="D68" s="78"/>
      <c r="E68" s="78"/>
      <c r="F68" s="85"/>
      <c r="G68" s="85"/>
      <c r="H68" s="85"/>
      <c r="I68" s="74"/>
      <c r="J68" s="74"/>
      <c r="K68" s="66"/>
      <c r="M68" s="192"/>
      <c r="N68" s="192"/>
      <c r="O68" s="192"/>
      <c r="P68" s="192"/>
      <c r="Q68" s="192"/>
      <c r="R68" s="192"/>
      <c r="S68" s="192"/>
    </row>
    <row r="69" spans="2:19" x14ac:dyDescent="0.3">
      <c r="B69" s="65"/>
      <c r="C69" s="78" t="s">
        <v>22</v>
      </c>
      <c r="D69" s="78"/>
      <c r="E69" s="78"/>
      <c r="F69" s="85">
        <f>IF(ISBLANK($C69),"",VLOOKUP($C69,'List Options'!$D$4:$M$111,2,FALSE))</f>
        <v>4</v>
      </c>
      <c r="G69" s="85">
        <f>IF(ISBLANK($C69),"",VLOOKUP($C69,'List Options'!$D$4:$M$111,4,FALSE))</f>
        <v>5400</v>
      </c>
      <c r="H69" s="85">
        <f>IF(ISBLANK($C69),"",VLOOKUP($C69,'List Options'!$D$4:$M$111,6,FALSE)-VLOOKUP($C69,'List Options'!$D$4:$M$111,4,FALSE))</f>
        <v>1350</v>
      </c>
      <c r="I69" s="74"/>
      <c r="J69" s="74"/>
      <c r="K69" s="66"/>
      <c r="M69" s="192"/>
      <c r="N69" s="192"/>
      <c r="O69" s="192"/>
      <c r="P69" s="192"/>
      <c r="Q69" s="192"/>
      <c r="R69" s="192"/>
      <c r="S69" s="192"/>
    </row>
    <row r="70" spans="2:19" x14ac:dyDescent="0.3">
      <c r="B70" s="65"/>
      <c r="C70" s="78" t="s">
        <v>23</v>
      </c>
      <c r="D70" s="78"/>
      <c r="E70" s="78"/>
      <c r="F70" s="85">
        <f>IF(ISBLANK($C70),"",VLOOKUP($C70,'List Options'!$D$4:$M$111,2,FALSE))</f>
        <v>12</v>
      </c>
      <c r="G70" s="85">
        <f>IF(ISBLANK($C70),"",VLOOKUP($C70,'List Options'!$D$4:$M$111,4,FALSE))</f>
        <v>1920</v>
      </c>
      <c r="H70" s="85">
        <f>IF(ISBLANK($C70),"",VLOOKUP($C70,'List Options'!$D$4:$M$111,6,FALSE)-VLOOKUP($C70,'List Options'!$D$4:$M$111,4,FALSE))</f>
        <v>0</v>
      </c>
      <c r="I70" s="74"/>
      <c r="J70" s="74"/>
      <c r="K70" s="66"/>
      <c r="M70" s="192"/>
      <c r="N70" s="192"/>
      <c r="O70" s="192"/>
      <c r="P70" s="192"/>
      <c r="Q70" s="192"/>
      <c r="R70" s="192"/>
      <c r="S70" s="192"/>
    </row>
    <row r="71" spans="2:19" x14ac:dyDescent="0.3">
      <c r="B71" s="65"/>
      <c r="C71" s="78" t="s">
        <v>25</v>
      </c>
      <c r="D71" s="78"/>
      <c r="E71" s="78"/>
      <c r="F71" s="85">
        <f>IF(ISBLANK($C71),"",VLOOKUP($C71,'List Options'!$D$4:$M$111,2,FALSE))</f>
        <v>0</v>
      </c>
      <c r="G71" s="85">
        <f>IF(ISBLANK($C71),"",VLOOKUP($C71,'List Options'!$D$4:$M$111,4,FALSE))</f>
        <v>200</v>
      </c>
      <c r="H71" s="85">
        <f>IF(ISBLANK($C71),"",VLOOKUP($C71,'List Options'!$D$4:$M$111,6,FALSE)-VLOOKUP($C71,'List Options'!$D$4:$M$111,4,FALSE))</f>
        <v>200</v>
      </c>
      <c r="I71" s="74"/>
      <c r="J71" s="74"/>
      <c r="K71" s="66"/>
      <c r="M71" s="192"/>
      <c r="N71" s="192"/>
      <c r="O71" s="192"/>
      <c r="P71" s="192"/>
      <c r="Q71" s="192"/>
      <c r="R71" s="192"/>
      <c r="S71" s="192"/>
    </row>
    <row r="72" spans="2:19" x14ac:dyDescent="0.3">
      <c r="B72" s="65"/>
      <c r="C72" s="78" t="s">
        <v>26</v>
      </c>
      <c r="D72" s="78"/>
      <c r="E72" s="78"/>
      <c r="F72" s="85">
        <v>2</v>
      </c>
      <c r="G72" s="85">
        <f>IF(ISBLANK($C72),"",VLOOKUP($C72,'List Options'!$D$4:$M$111,4,FALSE))</f>
        <v>1150</v>
      </c>
      <c r="H72" s="85">
        <f>IF(ISBLANK($C72),"",VLOOKUP($C72,'List Options'!$D$4:$M$111,6,FALSE)-VLOOKUP($C72,'List Options'!$D$4:$M$111,4,FALSE))</f>
        <v>2250</v>
      </c>
      <c r="I72" s="74"/>
      <c r="J72" s="74"/>
      <c r="K72" s="66"/>
      <c r="M72" s="192"/>
      <c r="N72" s="192"/>
      <c r="O72" s="192"/>
      <c r="P72" s="192"/>
      <c r="Q72" s="192"/>
      <c r="R72" s="192"/>
      <c r="S72" s="192"/>
    </row>
    <row r="73" spans="2:19" x14ac:dyDescent="0.3">
      <c r="B73" s="65"/>
      <c r="C73" s="78"/>
      <c r="D73" s="78"/>
      <c r="E73" s="78"/>
      <c r="F73" s="85" t="str">
        <f>IF(ISBLANK($C73),"",VLOOKUP($C73,'List Options'!$D$4:$M$111,2,FALSE))</f>
        <v/>
      </c>
      <c r="G73" s="85" t="str">
        <f>IF(ISBLANK($C73),"",VLOOKUP($C73,'List Options'!$D$4:$M$111,4,FALSE))</f>
        <v/>
      </c>
      <c r="H73" s="85" t="str">
        <f>IF(ISBLANK($C73),"",VLOOKUP($C73,'List Options'!$D$4:$M$111,6,FALSE)-VLOOKUP($C73,'List Options'!$D$4:$M$111,4,FALSE))</f>
        <v/>
      </c>
      <c r="I73" s="74"/>
      <c r="J73" s="74"/>
      <c r="K73" s="71"/>
      <c r="M73" s="192"/>
      <c r="N73" s="192"/>
      <c r="O73" s="192"/>
      <c r="P73" s="192"/>
      <c r="Q73" s="192"/>
      <c r="R73" s="192"/>
      <c r="S73" s="192"/>
    </row>
    <row r="74" spans="2:19" x14ac:dyDescent="0.3">
      <c r="B74" s="65"/>
      <c r="C74" s="78"/>
      <c r="D74" s="78"/>
      <c r="E74" s="78"/>
      <c r="F74" s="85" t="str">
        <f>IF(ISBLANK($C74),"",VLOOKUP($C74,'List Options'!$D$4:$M$111,2,FALSE))</f>
        <v/>
      </c>
      <c r="G74" s="85" t="str">
        <f>IF(ISBLANK($C74),"",VLOOKUP($C74,'List Options'!$D$4:$M$111,4,FALSE))</f>
        <v/>
      </c>
      <c r="H74" s="85" t="str">
        <f>IF(ISBLANK($C74),"",VLOOKUP($C74,'List Options'!$D$4:$M$111,6,FALSE)-VLOOKUP($C74,'List Options'!$D$4:$M$111,4,FALSE))</f>
        <v/>
      </c>
      <c r="I74" s="74"/>
      <c r="J74" s="74"/>
      <c r="K74" s="71"/>
      <c r="M74" s="192"/>
      <c r="N74" s="192"/>
      <c r="O74" s="192"/>
      <c r="P74" s="192"/>
      <c r="Q74" s="192"/>
      <c r="R74" s="192"/>
      <c r="S74" s="192"/>
    </row>
    <row r="75" spans="2:19" x14ac:dyDescent="0.3">
      <c r="B75" s="65"/>
      <c r="C75" s="78"/>
      <c r="D75" s="78"/>
      <c r="E75" s="78"/>
      <c r="F75" s="85" t="str">
        <f>IF(ISBLANK($C75),"",VLOOKUP($C75,'List Options'!$D$4:$M$111,2,FALSE))</f>
        <v/>
      </c>
      <c r="G75" s="85" t="str">
        <f>IF(ISBLANK($C75),"",VLOOKUP($C75,'List Options'!$D$4:$M$111,4,FALSE))</f>
        <v/>
      </c>
      <c r="H75" s="85" t="str">
        <f>IF(ISBLANK($C75),"",VLOOKUP($C75,'List Options'!$D$4:$M$111,6,FALSE)-VLOOKUP($C75,'List Options'!$D$4:$M$111,4,FALSE))</f>
        <v/>
      </c>
      <c r="I75" s="74"/>
      <c r="J75" s="74"/>
      <c r="K75" s="71"/>
      <c r="M75" s="192"/>
      <c r="N75" s="192"/>
      <c r="O75" s="192"/>
      <c r="P75" s="192"/>
      <c r="Q75" s="192"/>
      <c r="R75" s="192"/>
      <c r="S75" s="192"/>
    </row>
    <row r="76" spans="2:19" x14ac:dyDescent="0.3">
      <c r="B76" s="65"/>
      <c r="C76" s="82" t="s">
        <v>27</v>
      </c>
      <c r="D76" s="83"/>
      <c r="E76" s="83"/>
      <c r="F76" s="83"/>
      <c r="G76" s="83"/>
      <c r="H76" s="103"/>
      <c r="I76" s="74"/>
      <c r="J76" s="74"/>
      <c r="K76" s="66"/>
      <c r="M76" s="192"/>
      <c r="N76" s="192"/>
      <c r="O76" s="192"/>
      <c r="P76" s="192"/>
      <c r="Q76" s="192"/>
      <c r="R76" s="192"/>
      <c r="S76" s="192"/>
    </row>
    <row r="77" spans="2:19" x14ac:dyDescent="0.3">
      <c r="B77" s="65"/>
      <c r="C77" s="78" t="s">
        <v>28</v>
      </c>
      <c r="D77" s="78"/>
      <c r="E77" s="78"/>
      <c r="F77" s="85">
        <f>IF(ISBLANK($C77),"",VLOOKUP($C77,'List Options'!$D$4:$M$111,2,FALSE))</f>
        <v>6</v>
      </c>
      <c r="G77" s="85">
        <f>IF(ISBLANK($C77),"",VLOOKUP($C77,'List Options'!$D$4:$M$111,4,FALSE))</f>
        <v>250</v>
      </c>
      <c r="H77" s="85">
        <f>IF(ISBLANK($C77),"",VLOOKUP($C77,'List Options'!$D$4:$M$111,6,FALSE)-VLOOKUP($C77,'List Options'!$D$4:$M$111,4,FALSE))</f>
        <v>0</v>
      </c>
      <c r="I77" s="74"/>
      <c r="J77" s="74"/>
      <c r="K77" s="66"/>
      <c r="M77" s="192"/>
      <c r="N77" s="192"/>
      <c r="O77" s="192"/>
      <c r="P77" s="192"/>
      <c r="Q77" s="192"/>
      <c r="R77" s="192"/>
      <c r="S77" s="192"/>
    </row>
    <row r="78" spans="2:19" x14ac:dyDescent="0.3">
      <c r="B78" s="65"/>
      <c r="C78" s="78" t="s">
        <v>29</v>
      </c>
      <c r="D78" s="78"/>
      <c r="E78" s="78"/>
      <c r="F78" s="85">
        <f>IF(ISBLANK($C78),"",VLOOKUP($C78,'List Options'!$D$4:$M$111,2,FALSE))</f>
        <v>24</v>
      </c>
      <c r="G78" s="85">
        <f>IF(ISBLANK($C78),"",VLOOKUP($C78,'List Options'!$D$4:$M$111,4,FALSE))</f>
        <v>5</v>
      </c>
      <c r="H78" s="85">
        <f>IF(ISBLANK($C78),"",VLOOKUP($C78,'List Options'!$D$4:$M$111,6,FALSE)-VLOOKUP($C78,'List Options'!$D$4:$M$111,4,FALSE))</f>
        <v>15</v>
      </c>
      <c r="I78" s="74"/>
      <c r="J78" s="74"/>
      <c r="K78" s="66"/>
      <c r="M78" s="192"/>
      <c r="N78" s="192"/>
      <c r="O78" s="192"/>
      <c r="P78" s="192"/>
      <c r="Q78" s="192"/>
      <c r="R78" s="192"/>
      <c r="S78" s="192"/>
    </row>
    <row r="79" spans="2:19" x14ac:dyDescent="0.3">
      <c r="B79" s="65"/>
      <c r="C79" s="78" t="s">
        <v>30</v>
      </c>
      <c r="D79" s="78"/>
      <c r="E79" s="78"/>
      <c r="F79" s="85">
        <f>IF(ISBLANK($C79),"",VLOOKUP($C79,'List Options'!$D$4:$M$111,2,FALSE))</f>
        <v>4.5</v>
      </c>
      <c r="G79" s="85">
        <f>IF(ISBLANK($C79),"",VLOOKUP($C79,'List Options'!$D$4:$M$111,4,FALSE))</f>
        <v>85</v>
      </c>
      <c r="H79" s="85">
        <f>IF(ISBLANK($C79),"",VLOOKUP($C79,'List Options'!$D$4:$M$111,6,FALSE)-VLOOKUP($C79,'List Options'!$D$4:$M$111,4,FALSE))</f>
        <v>0</v>
      </c>
      <c r="I79" s="74"/>
      <c r="J79" s="74"/>
      <c r="K79" s="66"/>
      <c r="M79" s="192"/>
      <c r="N79" s="192"/>
      <c r="O79" s="192"/>
      <c r="P79" s="192"/>
      <c r="Q79" s="192"/>
      <c r="R79" s="192"/>
      <c r="S79" s="192"/>
    </row>
    <row r="80" spans="2:19" x14ac:dyDescent="0.3">
      <c r="B80" s="65"/>
      <c r="C80" s="78"/>
      <c r="D80" s="78"/>
      <c r="E80" s="78"/>
      <c r="F80" s="85" t="str">
        <f>IF(ISBLANK($C80),"",VLOOKUP($C80,'List Options'!$D$4:$M$111,2,FALSE))</f>
        <v/>
      </c>
      <c r="G80" s="85" t="str">
        <f>IF(ISBLANK($C80),"",VLOOKUP($C80,'List Options'!$D$4:$M$111,4,FALSE))</f>
        <v/>
      </c>
      <c r="H80" s="85" t="str">
        <f>IF(ISBLANK($C80),"",VLOOKUP($C80,'List Options'!$D$4:$M$111,6,FALSE)-VLOOKUP($C80,'List Options'!$D$4:$M$111,4,FALSE))</f>
        <v/>
      </c>
      <c r="I80" s="74"/>
      <c r="J80" s="74"/>
      <c r="K80" s="66"/>
      <c r="M80" s="192"/>
      <c r="N80" s="192"/>
      <c r="O80" s="192"/>
      <c r="P80" s="192"/>
      <c r="Q80" s="192"/>
      <c r="R80" s="192"/>
      <c r="S80" s="192"/>
    </row>
    <row r="81" spans="2:19" x14ac:dyDescent="0.3">
      <c r="B81" s="65"/>
      <c r="C81" s="78"/>
      <c r="D81" s="78"/>
      <c r="E81" s="78"/>
      <c r="F81" s="85" t="str">
        <f>IF(ISBLANK($C81),"",VLOOKUP($C81,'List Options'!$D$4:$M$111,2,FALSE))</f>
        <v/>
      </c>
      <c r="G81" s="85" t="str">
        <f>IF(ISBLANK($C81),"",VLOOKUP($C81,'List Options'!$D$4:$M$111,4,FALSE))</f>
        <v/>
      </c>
      <c r="H81" s="85" t="str">
        <f>IF(ISBLANK($C81),"",VLOOKUP($C81,'List Options'!$D$4:$M$111,6,FALSE)-VLOOKUP($C81,'List Options'!$D$4:$M$111,4,FALSE))</f>
        <v/>
      </c>
      <c r="I81" s="74"/>
      <c r="J81" s="74"/>
      <c r="K81" s="66"/>
      <c r="M81" s="192"/>
      <c r="N81" s="192"/>
      <c r="O81" s="192"/>
      <c r="P81" s="192"/>
      <c r="Q81" s="192"/>
      <c r="R81" s="192"/>
      <c r="S81" s="192"/>
    </row>
    <row r="82" spans="2:19" x14ac:dyDescent="0.3">
      <c r="B82" s="65"/>
      <c r="C82" s="78"/>
      <c r="D82" s="78"/>
      <c r="E82" s="78"/>
      <c r="F82" s="85" t="str">
        <f>IF(ISBLANK($C82),"",VLOOKUP($C82,'List Options'!$D$4:$M$111,2,FALSE))</f>
        <v/>
      </c>
      <c r="G82" s="85" t="str">
        <f>IF(ISBLANK($C82),"",VLOOKUP($C82,'List Options'!$D$4:$M$111,4,FALSE))</f>
        <v/>
      </c>
      <c r="H82" s="85" t="str">
        <f>IF(ISBLANK($C82),"",VLOOKUP($C82,'List Options'!$D$4:$M$111,6,FALSE)-VLOOKUP($C82,'List Options'!$D$4:$M$111,4,FALSE))</f>
        <v/>
      </c>
      <c r="I82" s="74"/>
      <c r="J82" s="74"/>
      <c r="K82" s="66"/>
      <c r="M82" s="192"/>
      <c r="N82" s="192"/>
      <c r="O82" s="192"/>
      <c r="P82" s="192"/>
      <c r="Q82" s="192"/>
      <c r="R82" s="192"/>
      <c r="S82" s="192"/>
    </row>
    <row r="83" spans="2:19" x14ac:dyDescent="0.3">
      <c r="B83" s="65"/>
      <c r="C83" s="82" t="s">
        <v>31</v>
      </c>
      <c r="D83" s="83"/>
      <c r="E83" s="83"/>
      <c r="F83" s="83"/>
      <c r="G83" s="83"/>
      <c r="H83" s="103"/>
      <c r="I83" s="74"/>
      <c r="J83" s="74"/>
      <c r="K83" s="66"/>
      <c r="M83" s="192"/>
      <c r="N83" s="192"/>
      <c r="O83" s="192"/>
      <c r="P83" s="192"/>
      <c r="Q83" s="192"/>
      <c r="R83" s="192"/>
      <c r="S83" s="192"/>
    </row>
    <row r="84" spans="2:19" x14ac:dyDescent="0.3">
      <c r="B84" s="65"/>
      <c r="C84" s="78" t="s">
        <v>32</v>
      </c>
      <c r="D84" s="78"/>
      <c r="E84" s="78"/>
      <c r="F84" s="85">
        <f>IF(ISBLANK($C84),"",VLOOKUP($C84,'List Options'!$D$4:$M$111,2,FALSE))</f>
        <v>0</v>
      </c>
      <c r="G84" s="85">
        <f>IF(ISBLANK($C84),"",VLOOKUP($C84,'List Options'!$D$4:$M$111,4,FALSE))</f>
        <v>500</v>
      </c>
      <c r="H84" s="85">
        <f>IF(ISBLANK($C84),"",VLOOKUP($C84,'List Options'!$D$4:$M$111,6,FALSE)-VLOOKUP($C84,'List Options'!$D$4:$M$111,4,FALSE))</f>
        <v>1500</v>
      </c>
      <c r="I84" s="74"/>
      <c r="J84" s="74"/>
      <c r="K84" s="66"/>
      <c r="M84" s="192"/>
      <c r="N84" s="192"/>
      <c r="O84" s="192"/>
      <c r="P84" s="192"/>
      <c r="Q84" s="192"/>
      <c r="R84" s="192"/>
      <c r="S84" s="192"/>
    </row>
    <row r="85" spans="2:19" x14ac:dyDescent="0.3">
      <c r="B85" s="65"/>
      <c r="C85" s="78" t="s">
        <v>100</v>
      </c>
      <c r="D85" s="78"/>
      <c r="E85" s="78"/>
      <c r="F85" s="85">
        <f>IF(ISBLANK($C85),"",VLOOKUP($C85,'List Options'!$D$4:$M$111,2,FALSE))</f>
        <v>12</v>
      </c>
      <c r="G85" s="85">
        <f>IF(ISBLANK($C85),"",VLOOKUP($C85,'List Options'!$D$4:$M$111,4,FALSE))</f>
        <v>210.61643835616439</v>
      </c>
      <c r="H85" s="85">
        <f>IF(ISBLANK($C85),"",VLOOKUP($C85,'List Options'!$D$4:$M$111,6,FALSE)-VLOOKUP($C85,'List Options'!$D$4:$M$111,4,FALSE))</f>
        <v>421.23287671232879</v>
      </c>
      <c r="I85" s="74"/>
      <c r="J85" s="74"/>
      <c r="K85" s="66"/>
      <c r="M85" s="192"/>
      <c r="N85" s="192"/>
      <c r="O85" s="192"/>
      <c r="P85" s="192"/>
      <c r="Q85" s="192"/>
      <c r="R85" s="192"/>
      <c r="S85" s="192"/>
    </row>
    <row r="86" spans="2:19" x14ac:dyDescent="0.3">
      <c r="B86" s="65"/>
      <c r="C86" s="78" t="s">
        <v>101</v>
      </c>
      <c r="D86" s="78"/>
      <c r="E86" s="78"/>
      <c r="F86" s="85">
        <f>IF(ISBLANK($C86),"",VLOOKUP($C86,'List Options'!$D$4:$M$111,2,FALSE))</f>
        <v>12</v>
      </c>
      <c r="G86" s="85">
        <f>IF(ISBLANK($C86),"",VLOOKUP($C86,'List Options'!$D$4:$M$111,4,FALSE))</f>
        <v>113.69863013698631</v>
      </c>
      <c r="H86" s="85">
        <f>IF(ISBLANK($C86),"",VLOOKUP($C86,'List Options'!$D$4:$M$111,6,FALSE)-VLOOKUP($C86,'List Options'!$D$4:$M$111,4,FALSE))</f>
        <v>227.39726027397262</v>
      </c>
      <c r="I86" s="74"/>
      <c r="J86" s="74"/>
      <c r="K86" s="66"/>
      <c r="M86" s="192"/>
      <c r="N86" s="192"/>
      <c r="O86" s="192"/>
      <c r="P86" s="192"/>
      <c r="Q86" s="192"/>
      <c r="R86" s="192"/>
      <c r="S86" s="192"/>
    </row>
    <row r="87" spans="2:19" x14ac:dyDescent="0.3">
      <c r="B87" s="65"/>
      <c r="C87" s="78"/>
      <c r="D87" s="78"/>
      <c r="E87" s="78"/>
      <c r="F87" s="85" t="str">
        <f>IF(ISBLANK($C87),"",VLOOKUP($C87,'List Options'!$D$4:$M$111,2,FALSE))</f>
        <v/>
      </c>
      <c r="G87" s="85" t="str">
        <f>IF(ISBLANK($C87),"",VLOOKUP($C87,'List Options'!$D$4:$M$111,4,FALSE))</f>
        <v/>
      </c>
      <c r="H87" s="85" t="str">
        <f>IF(ISBLANK($C87),"",VLOOKUP($C87,'List Options'!$D$4:$M$111,6,FALSE)-VLOOKUP($C87,'List Options'!$D$4:$M$111,4,FALSE))</f>
        <v/>
      </c>
      <c r="I87" s="74"/>
      <c r="J87" s="74"/>
      <c r="K87" s="66"/>
      <c r="M87" s="192"/>
      <c r="N87" s="192"/>
      <c r="O87" s="192"/>
      <c r="P87" s="192"/>
      <c r="Q87" s="192"/>
      <c r="R87" s="192"/>
      <c r="S87" s="192"/>
    </row>
    <row r="88" spans="2:19" x14ac:dyDescent="0.3">
      <c r="B88" s="65"/>
      <c r="C88" s="78"/>
      <c r="D88" s="78"/>
      <c r="E88" s="78"/>
      <c r="F88" s="85" t="str">
        <f>IF(ISBLANK($C88),"",VLOOKUP($C88,'List Options'!$D$4:$M$111,2,FALSE))</f>
        <v/>
      </c>
      <c r="G88" s="85" t="str">
        <f>IF(ISBLANK($C88),"",VLOOKUP($C88,'List Options'!$D$4:$M$111,4,FALSE))</f>
        <v/>
      </c>
      <c r="H88" s="85" t="str">
        <f>IF(ISBLANK($C88),"",VLOOKUP($C88,'List Options'!$D$4:$M$111,6,FALSE)-VLOOKUP($C88,'List Options'!$D$4:$M$111,4,FALSE))</f>
        <v/>
      </c>
      <c r="I88" s="74"/>
      <c r="J88" s="74"/>
      <c r="K88" s="66"/>
      <c r="M88" s="192"/>
      <c r="N88" s="192"/>
      <c r="O88" s="192"/>
      <c r="P88" s="192"/>
      <c r="Q88" s="192"/>
      <c r="R88" s="192"/>
      <c r="S88" s="192"/>
    </row>
    <row r="89" spans="2:19" x14ac:dyDescent="0.3">
      <c r="B89" s="65"/>
      <c r="C89" s="78"/>
      <c r="D89" s="78"/>
      <c r="E89" s="78"/>
      <c r="F89" s="85" t="str">
        <f>IF(ISBLANK($C89),"",VLOOKUP($C89,'List Options'!$D$4:$M$111,2,FALSE))</f>
        <v/>
      </c>
      <c r="G89" s="85" t="str">
        <f>IF(ISBLANK($C89),"",VLOOKUP($C89,'List Options'!$D$4:$M$111,4,FALSE))</f>
        <v/>
      </c>
      <c r="H89" s="85" t="str">
        <f>IF(ISBLANK($C89),"",VLOOKUP($C89,'List Options'!$D$4:$M$111,6,FALSE)-VLOOKUP($C89,'List Options'!$D$4:$M$111,4,FALSE))</f>
        <v/>
      </c>
      <c r="I89" s="74"/>
      <c r="J89" s="74"/>
      <c r="K89" s="66"/>
      <c r="M89" s="192"/>
      <c r="N89" s="192"/>
      <c r="O89" s="192"/>
      <c r="P89" s="192"/>
      <c r="Q89" s="192"/>
      <c r="R89" s="192"/>
      <c r="S89" s="192"/>
    </row>
    <row r="90" spans="2:19" x14ac:dyDescent="0.3">
      <c r="B90" s="65"/>
      <c r="C90" s="82" t="s">
        <v>33</v>
      </c>
      <c r="D90" s="83"/>
      <c r="E90" s="83"/>
      <c r="F90" s="83"/>
      <c r="G90" s="83"/>
      <c r="H90" s="103"/>
      <c r="I90" s="74"/>
      <c r="J90" s="74"/>
      <c r="K90" s="66"/>
      <c r="M90" s="192"/>
      <c r="N90" s="192"/>
      <c r="O90" s="192"/>
      <c r="P90" s="192"/>
      <c r="Q90" s="192"/>
      <c r="R90" s="192"/>
      <c r="S90" s="192"/>
    </row>
    <row r="91" spans="2:19" ht="28.8" x14ac:dyDescent="0.3">
      <c r="B91" s="65"/>
      <c r="C91" s="78" t="s">
        <v>279</v>
      </c>
      <c r="D91" s="78"/>
      <c r="E91" s="78"/>
      <c r="F91" s="85">
        <f>IF(ISBLANK($C91),"",VLOOKUP($C91,'List Options'!$D$4:$M$111,2,FALSE))</f>
        <v>0</v>
      </c>
      <c r="G91" s="85">
        <f>IF(ISBLANK($C91),"",VLOOKUP($C91,'List Options'!$D$4:$M$111,4,FALSE))</f>
        <v>0</v>
      </c>
      <c r="H91" s="85">
        <f>IF(ISBLANK($C91),"",VLOOKUP($C91,'List Options'!$D$4:$M$111,6,FALSE)-VLOOKUP($C91,'List Options'!$D$4:$M$111,4,FALSE))</f>
        <v>0</v>
      </c>
      <c r="I91" s="74"/>
      <c r="J91" s="157"/>
      <c r="K91" s="66"/>
      <c r="M91" s="192"/>
      <c r="N91" s="192"/>
      <c r="O91" s="192"/>
      <c r="P91" s="192"/>
      <c r="Q91" s="192"/>
      <c r="R91" s="192"/>
      <c r="S91" s="192"/>
    </row>
    <row r="92" spans="2:19" x14ac:dyDescent="0.3">
      <c r="B92" s="65"/>
      <c r="C92" s="78" t="s">
        <v>34</v>
      </c>
      <c r="D92" s="78"/>
      <c r="E92" s="78"/>
      <c r="F92" s="85">
        <f>IF(ISBLANK($C92),"",VLOOKUP($C92,'List Options'!$D$4:$M$111,2,FALSE))</f>
        <v>14</v>
      </c>
      <c r="G92" s="85">
        <f>IF(ISBLANK($C92),"",VLOOKUP($C92,'List Options'!$D$4:$M$111,4,FALSE))</f>
        <v>60</v>
      </c>
      <c r="H92" s="85">
        <f>IF(ISBLANK($C92),"",VLOOKUP($C92,'List Options'!$D$4:$M$111,6,FALSE)-VLOOKUP($C92,'List Options'!$D$4:$M$111,4,FALSE))</f>
        <v>70</v>
      </c>
      <c r="I92" s="74"/>
      <c r="J92" s="74"/>
      <c r="K92" s="66"/>
      <c r="M92" s="192"/>
      <c r="N92" s="192"/>
      <c r="O92" s="192"/>
      <c r="P92" s="192"/>
      <c r="Q92" s="192"/>
      <c r="R92" s="192"/>
      <c r="S92" s="192"/>
    </row>
    <row r="93" spans="2:19" ht="28.8" x14ac:dyDescent="0.3">
      <c r="B93" s="65"/>
      <c r="C93" s="78" t="s">
        <v>277</v>
      </c>
      <c r="D93" s="78"/>
      <c r="E93" s="78"/>
      <c r="F93" s="85">
        <f>IF(ISBLANK($C93),"",VLOOKUP($C93,'List Options'!$D$4:$M$111,2,FALSE))</f>
        <v>0</v>
      </c>
      <c r="G93" s="85">
        <f>IF(ISBLANK($C93),"",VLOOKUP($C93,'List Options'!$D$4:$M$111,4,FALSE))</f>
        <v>0</v>
      </c>
      <c r="H93" s="85">
        <f>IF(ISBLANK($C93),"",VLOOKUP($C93,'List Options'!$D$4:$M$111,6,FALSE)-VLOOKUP($C93,'List Options'!$D$4:$M$111,4,FALSE))</f>
        <v>0</v>
      </c>
      <c r="I93" s="74"/>
      <c r="J93" s="74"/>
      <c r="K93" s="66"/>
      <c r="M93" s="192"/>
      <c r="N93" s="192"/>
      <c r="O93" s="192"/>
      <c r="P93" s="192"/>
      <c r="Q93" s="192"/>
      <c r="R93" s="192"/>
      <c r="S93" s="192"/>
    </row>
    <row r="94" spans="2:19" ht="28.8" x14ac:dyDescent="0.3">
      <c r="B94" s="65"/>
      <c r="C94" s="78" t="s">
        <v>278</v>
      </c>
      <c r="D94" s="78"/>
      <c r="E94" s="78"/>
      <c r="F94" s="85">
        <f>IF(ISBLANK($C94),"",VLOOKUP($C94,'List Options'!$D$4:$M$111,2,FALSE))</f>
        <v>0</v>
      </c>
      <c r="G94" s="85">
        <f>IF(ISBLANK($C94),"",VLOOKUP($C94,'List Options'!$D$4:$M$111,4,FALSE))</f>
        <v>0</v>
      </c>
      <c r="H94" s="85">
        <f>IF(ISBLANK($C94),"",VLOOKUP($C94,'List Options'!$D$4:$M$111,6,FALSE)-VLOOKUP($C94,'List Options'!$D$4:$M$111,4,FALSE))</f>
        <v>0</v>
      </c>
      <c r="I94" s="74"/>
      <c r="J94" s="74"/>
      <c r="K94" s="66"/>
      <c r="M94" s="192"/>
      <c r="N94" s="192"/>
      <c r="O94" s="192"/>
      <c r="P94" s="192"/>
      <c r="Q94" s="192"/>
      <c r="R94" s="192"/>
      <c r="S94" s="192"/>
    </row>
    <row r="95" spans="2:19" x14ac:dyDescent="0.3">
      <c r="B95" s="65"/>
      <c r="C95" s="78" t="s">
        <v>37</v>
      </c>
      <c r="D95" s="78"/>
      <c r="E95" s="78"/>
      <c r="F95" s="85">
        <f>IF(ISBLANK($C95),"",VLOOKUP($C95,'List Options'!$D$4:$M$111,2,FALSE))</f>
        <v>0</v>
      </c>
      <c r="G95" s="85">
        <f>IF(ISBLANK($C95),"",VLOOKUP($C95,'List Options'!$D$4:$M$111,4,FALSE))</f>
        <v>1800</v>
      </c>
      <c r="H95" s="85">
        <f>IF(ISBLANK($C95),"",VLOOKUP($C95,'List Options'!$D$4:$M$111,6,FALSE)-VLOOKUP($C95,'List Options'!$D$4:$M$111,4,FALSE))</f>
        <v>0</v>
      </c>
      <c r="I95" s="74"/>
      <c r="J95" s="74"/>
      <c r="K95" s="66"/>
      <c r="M95" s="192"/>
      <c r="N95" s="192"/>
      <c r="O95" s="192"/>
      <c r="P95" s="192"/>
      <c r="Q95" s="192"/>
      <c r="R95" s="192"/>
      <c r="S95" s="192"/>
    </row>
    <row r="96" spans="2:19" x14ac:dyDescent="0.3">
      <c r="B96" s="65"/>
      <c r="C96" s="78"/>
      <c r="D96" s="78"/>
      <c r="E96" s="78"/>
      <c r="F96" s="85" t="str">
        <f>IF(ISBLANK($C96),"",VLOOKUP($C96,'List Options'!$D$4:$M$111,2,FALSE))</f>
        <v/>
      </c>
      <c r="G96" s="85" t="str">
        <f>IF(ISBLANK($C96),"",VLOOKUP($C96,'List Options'!$D$4:$M$111,4,FALSE))</f>
        <v/>
      </c>
      <c r="H96" s="85" t="str">
        <f>IF(ISBLANK($C96),"",VLOOKUP($C96,'List Options'!$D$4:$M$111,6,FALSE)-VLOOKUP($C96,'List Options'!$D$4:$M$111,4,FALSE))</f>
        <v/>
      </c>
      <c r="I96" s="74"/>
      <c r="J96" s="74"/>
      <c r="K96" s="66"/>
    </row>
    <row r="97" spans="2:11" x14ac:dyDescent="0.3">
      <c r="B97" s="65"/>
      <c r="C97" s="78"/>
      <c r="D97" s="78"/>
      <c r="E97" s="78"/>
      <c r="F97" s="85" t="str">
        <f>IF(ISBLANK($C97),"",VLOOKUP($C97,'List Options'!$D$4:$M$111,2,FALSE))</f>
        <v/>
      </c>
      <c r="G97" s="85" t="str">
        <f>IF(ISBLANK($C97),"",VLOOKUP($C97,'List Options'!$D$4:$M$111,4,FALSE))</f>
        <v/>
      </c>
      <c r="H97" s="85" t="str">
        <f>IF(ISBLANK($C97),"",VLOOKUP($C97,'List Options'!$D$4:$M$111,6,FALSE)-VLOOKUP($C97,'List Options'!$D$4:$M$111,4,FALSE))</f>
        <v/>
      </c>
      <c r="I97" s="74"/>
      <c r="J97" s="74"/>
      <c r="K97" s="66"/>
    </row>
    <row r="98" spans="2:11" x14ac:dyDescent="0.3">
      <c r="B98" s="65"/>
      <c r="C98" s="78"/>
      <c r="D98" s="78"/>
      <c r="E98" s="78"/>
      <c r="F98" s="85" t="str">
        <f>IF(ISBLANK($C98),"",VLOOKUP($C98,'List Options'!$D$4:$M$111,2,FALSE))</f>
        <v/>
      </c>
      <c r="G98" s="85" t="str">
        <f>IF(ISBLANK($C98),"",VLOOKUP($C98,'List Options'!$D$4:$M$111,4,FALSE))</f>
        <v/>
      </c>
      <c r="H98" s="85" t="str">
        <f>IF(ISBLANK($C98),"",VLOOKUP($C98,'List Options'!$D$4:$M$111,6,FALSE)-VLOOKUP($C98,'List Options'!$D$4:$M$111,4,FALSE))</f>
        <v/>
      </c>
      <c r="I98" s="74"/>
      <c r="J98" s="74"/>
      <c r="K98" s="66"/>
    </row>
    <row r="99" spans="2:11" x14ac:dyDescent="0.3">
      <c r="B99" s="65"/>
      <c r="C99" s="78"/>
      <c r="D99" s="78"/>
      <c r="E99" s="78"/>
      <c r="F99" s="85" t="str">
        <f>IF(ISBLANK($C99),"",VLOOKUP($C99,'List Options'!$D$4:$M$111,2,FALSE))</f>
        <v/>
      </c>
      <c r="G99" s="85" t="str">
        <f>IF(ISBLANK($C99),"",VLOOKUP($C99,'List Options'!$D$4:$M$111,4,FALSE))</f>
        <v/>
      </c>
      <c r="H99" s="85" t="str">
        <f>IF(ISBLANK($C99),"",VLOOKUP($C99,'List Options'!$D$4:$M$111,6,FALSE)-VLOOKUP($C99,'List Options'!$D$4:$M$111,4,FALSE))</f>
        <v/>
      </c>
      <c r="I99" s="74"/>
      <c r="J99" s="74"/>
      <c r="K99" s="66"/>
    </row>
    <row r="100" spans="2:11" x14ac:dyDescent="0.3">
      <c r="B100" s="65"/>
      <c r="C100" s="82" t="s">
        <v>38</v>
      </c>
      <c r="D100" s="83"/>
      <c r="E100" s="83"/>
      <c r="F100" s="83"/>
      <c r="G100" s="83"/>
      <c r="H100" s="103"/>
      <c r="I100" s="74"/>
      <c r="J100" s="74"/>
      <c r="K100" s="66"/>
    </row>
    <row r="101" spans="2:11" x14ac:dyDescent="0.3">
      <c r="B101" s="65"/>
      <c r="C101" s="78" t="s">
        <v>39</v>
      </c>
      <c r="D101" s="78"/>
      <c r="E101" s="78"/>
      <c r="F101" s="85">
        <f>IF(ISBLANK($C101),"",VLOOKUP($C101,'List Options'!$D$4:$M$111,2,FALSE))</f>
        <v>7</v>
      </c>
      <c r="G101" s="85">
        <f>IF(ISBLANK($C101),"",VLOOKUP($C101,'List Options'!$D$4:$M$111,4,FALSE))</f>
        <v>75</v>
      </c>
      <c r="H101" s="85">
        <f>IF(ISBLANK($C101),"",VLOOKUP($C101,'List Options'!$D$4:$M$111,6,FALSE)-VLOOKUP($C101,'List Options'!$D$4:$M$111,4,FALSE))</f>
        <v>0</v>
      </c>
      <c r="I101" s="74"/>
      <c r="J101" s="74"/>
      <c r="K101" s="66"/>
    </row>
    <row r="102" spans="2:11" x14ac:dyDescent="0.3">
      <c r="B102" s="65"/>
      <c r="C102" s="78" t="s">
        <v>40</v>
      </c>
      <c r="D102" s="78"/>
      <c r="E102" s="78"/>
      <c r="F102" s="85">
        <f>IF(ISBLANK($C102),"",VLOOKUP($C102,'List Options'!$D$4:$M$111,2,FALSE))</f>
        <v>7</v>
      </c>
      <c r="G102" s="85">
        <f>IF(ISBLANK($C102),"",VLOOKUP($C102,'List Options'!$D$4:$M$111,4,FALSE))</f>
        <v>9</v>
      </c>
      <c r="H102" s="85">
        <f>IF(ISBLANK($C102),"",VLOOKUP($C102,'List Options'!$D$4:$M$111,6,FALSE)-VLOOKUP($C102,'List Options'!$D$4:$M$111,4,FALSE))</f>
        <v>0</v>
      </c>
      <c r="I102" s="74"/>
      <c r="J102" s="74"/>
      <c r="K102" s="66"/>
    </row>
    <row r="103" spans="2:11" x14ac:dyDescent="0.3">
      <c r="B103" s="65"/>
      <c r="C103" s="78"/>
      <c r="D103" s="78"/>
      <c r="E103" s="78"/>
      <c r="F103" s="85" t="str">
        <f>IF(ISBLANK($C103),"",VLOOKUP($C103,'List Options'!$D$4:$M$111,2,FALSE))</f>
        <v/>
      </c>
      <c r="G103" s="85" t="str">
        <f>IF(ISBLANK($C103),"",VLOOKUP($C103,'List Options'!$D$4:$M$111,4,FALSE))</f>
        <v/>
      </c>
      <c r="H103" s="85" t="str">
        <f>IF(ISBLANK($C103),"",VLOOKUP($C103,'List Options'!$D$4:$M$111,6,FALSE)-VLOOKUP($C103,'List Options'!$D$4:$M$111,4,FALSE))</f>
        <v/>
      </c>
      <c r="I103" s="74"/>
      <c r="J103" s="74"/>
      <c r="K103" s="66"/>
    </row>
    <row r="104" spans="2:11" x14ac:dyDescent="0.3">
      <c r="B104" s="65"/>
      <c r="C104" s="78"/>
      <c r="D104" s="78"/>
      <c r="E104" s="78"/>
      <c r="F104" s="85" t="str">
        <f>IF(ISBLANK($C104),"",VLOOKUP($C104,'List Options'!$D$4:$M$111,2,FALSE))</f>
        <v/>
      </c>
      <c r="G104" s="85" t="str">
        <f>IF(ISBLANK($C104),"",VLOOKUP($C104,'List Options'!$D$4:$M$111,4,FALSE))</f>
        <v/>
      </c>
      <c r="H104" s="85" t="str">
        <f>IF(ISBLANK($C104),"",VLOOKUP($C104,'List Options'!$D$4:$M$111,6,FALSE)-VLOOKUP($C104,'List Options'!$D$4:$M$111,4,FALSE))</f>
        <v/>
      </c>
      <c r="I104" s="74"/>
      <c r="J104" s="74"/>
      <c r="K104" s="66"/>
    </row>
    <row r="105" spans="2:11" x14ac:dyDescent="0.3">
      <c r="B105" s="65"/>
      <c r="C105" s="78"/>
      <c r="D105" s="78"/>
      <c r="E105" s="78"/>
      <c r="F105" s="85" t="str">
        <f>IF(ISBLANK($C105),"",VLOOKUP($C105,'List Options'!$D$4:$M$111,2,FALSE))</f>
        <v/>
      </c>
      <c r="G105" s="85" t="str">
        <f>IF(ISBLANK($C105),"",VLOOKUP($C105,'List Options'!$D$4:$M$111,4,FALSE))</f>
        <v/>
      </c>
      <c r="H105" s="85" t="str">
        <f>IF(ISBLANK($C105),"",VLOOKUP($C105,'List Options'!$D$4:$M$111,6,FALSE)-VLOOKUP($C105,'List Options'!$D$4:$M$111,4,FALSE))</f>
        <v/>
      </c>
      <c r="I105" s="74"/>
      <c r="J105" s="74"/>
      <c r="K105" s="66"/>
    </row>
    <row r="106" spans="2:11" x14ac:dyDescent="0.3">
      <c r="B106" s="65"/>
      <c r="C106" s="82" t="s">
        <v>41</v>
      </c>
      <c r="D106" s="83"/>
      <c r="E106" s="83"/>
      <c r="F106" s="83"/>
      <c r="G106" s="83"/>
      <c r="H106" s="103"/>
      <c r="I106" s="74"/>
      <c r="J106" s="74"/>
      <c r="K106" s="66"/>
    </row>
    <row r="107" spans="2:11" x14ac:dyDescent="0.3">
      <c r="B107" s="65"/>
      <c r="C107" s="78" t="s">
        <v>42</v>
      </c>
      <c r="D107" s="78"/>
      <c r="E107" s="78"/>
      <c r="F107" s="85">
        <f>IF(ISBLANK($C107),"",VLOOKUP($C107,'List Options'!$D$4:$M$111,2,FALSE))</f>
        <v>0</v>
      </c>
      <c r="G107" s="85">
        <f>IF(ISBLANK($C107),"",VLOOKUP($C107,'List Options'!$D$4:$M$111,4,FALSE))</f>
        <v>1200</v>
      </c>
      <c r="H107" s="85">
        <f>IF(ISBLANK($C107),"",VLOOKUP($C107,'List Options'!$D$4:$M$111,6,FALSE)-VLOOKUP($C107,'List Options'!$D$4:$M$111,4,FALSE))</f>
        <v>100</v>
      </c>
      <c r="I107" s="74"/>
      <c r="J107" s="74"/>
      <c r="K107" s="66"/>
    </row>
    <row r="108" spans="2:11" x14ac:dyDescent="0.3">
      <c r="B108" s="65"/>
      <c r="C108" s="78" t="s">
        <v>43</v>
      </c>
      <c r="D108" s="78"/>
      <c r="E108" s="78"/>
      <c r="F108" s="85">
        <v>5</v>
      </c>
      <c r="G108" s="85">
        <f>IF(ISBLANK($C108),"",VLOOKUP($C108,'List Options'!$D$4:$M$111,4,FALSE))</f>
        <v>1610</v>
      </c>
      <c r="H108" s="85">
        <f>IF(ISBLANK($C108),"",VLOOKUP($C108,'List Options'!$D$4:$M$111,6,FALSE)-VLOOKUP($C108,'List Options'!$D$4:$M$111,4,FALSE))</f>
        <v>1380</v>
      </c>
      <c r="I108" s="157"/>
      <c r="J108" s="74"/>
      <c r="K108" s="66"/>
    </row>
    <row r="109" spans="2:11" x14ac:dyDescent="0.3">
      <c r="B109" s="65"/>
      <c r="C109" s="78" t="s">
        <v>44</v>
      </c>
      <c r="D109" s="78"/>
      <c r="E109" s="78"/>
      <c r="F109" s="85">
        <f>IF(ISBLANK($C109),"",VLOOKUP($C109,'List Options'!$D$4:$M$111,2,FALSE))</f>
        <v>0</v>
      </c>
      <c r="G109" s="85">
        <f>IF(ISBLANK($C109),"",VLOOKUP($C109,'List Options'!$D$4:$M$111,4,FALSE))</f>
        <v>70</v>
      </c>
      <c r="H109" s="85">
        <f>IF(ISBLANK($C109),"",VLOOKUP($C109,'List Options'!$D$4:$M$111,6,FALSE)-VLOOKUP($C109,'List Options'!$D$4:$M$111,4,FALSE))</f>
        <v>30</v>
      </c>
      <c r="I109" s="74"/>
      <c r="J109" s="74"/>
      <c r="K109" s="66"/>
    </row>
    <row r="110" spans="2:11" ht="28.8" x14ac:dyDescent="0.3">
      <c r="B110" s="65"/>
      <c r="C110" s="78" t="s">
        <v>120</v>
      </c>
      <c r="D110" s="78"/>
      <c r="E110" s="78"/>
      <c r="F110" s="85">
        <f>IF(ISBLANK($C110),"",VLOOKUP($C110,'List Options'!$D$4:$M$111,2,FALSE))</f>
        <v>3</v>
      </c>
      <c r="G110" s="85">
        <f>IF(ISBLANK($C110),"",VLOOKUP($C110,'List Options'!$D$4:$M$111,4,FALSE))</f>
        <v>4500</v>
      </c>
      <c r="H110" s="85">
        <f>IF(ISBLANK($C110),"",VLOOKUP($C110,'List Options'!$D$4:$M$111,6,FALSE)-VLOOKUP($C110,'List Options'!$D$4:$M$111,4,FALSE))</f>
        <v>0</v>
      </c>
      <c r="I110" s="74"/>
      <c r="J110" s="74"/>
      <c r="K110" s="66"/>
    </row>
    <row r="111" spans="2:11" x14ac:dyDescent="0.3">
      <c r="B111" s="65"/>
      <c r="C111" s="78" t="s">
        <v>126</v>
      </c>
      <c r="D111" s="78"/>
      <c r="E111" s="78"/>
      <c r="F111" s="85">
        <f>IF(ISBLANK($C111),"",VLOOKUP($C111,'List Options'!$D$4:$M$111,2,FALSE))</f>
        <v>3</v>
      </c>
      <c r="G111" s="85">
        <f>IF(ISBLANK($C111),"",VLOOKUP($C111,'List Options'!$D$4:$M$111,4,FALSE))</f>
        <v>5</v>
      </c>
      <c r="H111" s="85">
        <f>IF(ISBLANK($C111),"",VLOOKUP($C111,'List Options'!$D$4:$M$111,6,FALSE)-VLOOKUP($C111,'List Options'!$D$4:$M$111,4,FALSE))</f>
        <v>0</v>
      </c>
      <c r="I111" s="74"/>
      <c r="J111" s="74"/>
      <c r="K111" s="66"/>
    </row>
    <row r="112" spans="2:11" x14ac:dyDescent="0.3">
      <c r="B112" s="65"/>
      <c r="C112" s="78"/>
      <c r="D112" s="78"/>
      <c r="E112" s="78"/>
      <c r="F112" s="85" t="str">
        <f>IF(ISBLANK($C112),"",VLOOKUP($C112,'List Options'!$D$4:$M$111,2,FALSE))</f>
        <v/>
      </c>
      <c r="G112" s="85" t="str">
        <f>IF(ISBLANK($C112),"",VLOOKUP($C112,'List Options'!$D$4:$M$111,4,FALSE))</f>
        <v/>
      </c>
      <c r="H112" s="85" t="str">
        <f>IF(ISBLANK($C112),"",VLOOKUP($C112,'List Options'!$D$4:$M$111,6,FALSE)-VLOOKUP($C112,'List Options'!$D$4:$M$111,4,FALSE))</f>
        <v/>
      </c>
      <c r="I112" s="74"/>
      <c r="J112" s="74"/>
      <c r="K112" s="66"/>
    </row>
    <row r="113" spans="2:11" x14ac:dyDescent="0.3">
      <c r="B113" s="65"/>
      <c r="C113" s="78"/>
      <c r="D113" s="78"/>
      <c r="E113" s="78"/>
      <c r="F113" s="85" t="str">
        <f>IF(ISBLANK($C113),"",VLOOKUP($C113,'List Options'!$D$4:$M$111,2,FALSE))</f>
        <v/>
      </c>
      <c r="G113" s="85" t="str">
        <f>IF(ISBLANK($C113),"",VLOOKUP($C113,'List Options'!$D$4:$M$111,4,FALSE))</f>
        <v/>
      </c>
      <c r="H113" s="85" t="str">
        <f>IF(ISBLANK($C113),"",VLOOKUP($C113,'List Options'!$D$4:$M$111,6,FALSE)-VLOOKUP($C113,'List Options'!$D$4:$M$111,4,FALSE))</f>
        <v/>
      </c>
      <c r="I113" s="74"/>
      <c r="J113" s="74"/>
      <c r="K113" s="66"/>
    </row>
    <row r="114" spans="2:11" x14ac:dyDescent="0.3">
      <c r="B114" s="65"/>
      <c r="C114" s="78"/>
      <c r="D114" s="78"/>
      <c r="E114" s="78"/>
      <c r="F114" s="85" t="str">
        <f>IF(ISBLANK($C114),"",VLOOKUP($C114,'List Options'!$D$4:$M$111,2,FALSE))</f>
        <v/>
      </c>
      <c r="G114" s="85" t="str">
        <f>IF(ISBLANK($C114),"",VLOOKUP($C114,'List Options'!$D$4:$M$111,4,FALSE))</f>
        <v/>
      </c>
      <c r="H114" s="85" t="str">
        <f>IF(ISBLANK($C114),"",VLOOKUP($C114,'List Options'!$D$4:$M$111,6,FALSE)-VLOOKUP($C114,'List Options'!$D$4:$M$111,4,FALSE))</f>
        <v/>
      </c>
      <c r="I114" s="74"/>
      <c r="J114" s="74"/>
      <c r="K114" s="66"/>
    </row>
    <row r="115" spans="2:11" x14ac:dyDescent="0.3">
      <c r="B115" s="65"/>
      <c r="C115" s="78"/>
      <c r="D115" s="78"/>
      <c r="E115" s="78"/>
      <c r="F115" s="85" t="str">
        <f>IF(ISBLANK($C115),"",VLOOKUP($C115,'List Options'!$D$4:$M$111,2,FALSE))</f>
        <v/>
      </c>
      <c r="G115" s="85" t="str">
        <f>IF(ISBLANK($C115),"",VLOOKUP($C115,'List Options'!$D$4:$M$111,4,FALSE))</f>
        <v/>
      </c>
      <c r="H115" s="85" t="str">
        <f>IF(ISBLANK($C115),"",VLOOKUP($C115,'List Options'!$D$4:$M$111,6,FALSE)-VLOOKUP($C115,'List Options'!$D$4:$M$111,4,FALSE))</f>
        <v/>
      </c>
      <c r="I115" s="74"/>
      <c r="J115" s="74"/>
      <c r="K115" s="66"/>
    </row>
    <row r="116" spans="2:11" x14ac:dyDescent="0.3">
      <c r="B116" s="69"/>
      <c r="C116" s="74"/>
      <c r="D116" s="74"/>
      <c r="E116" s="74"/>
      <c r="F116" s="74"/>
      <c r="G116" s="74"/>
      <c r="H116" s="74"/>
      <c r="I116" s="74"/>
      <c r="J116" s="74"/>
      <c r="K116" s="71"/>
    </row>
    <row r="117" spans="2:11" x14ac:dyDescent="0.3">
      <c r="B117" s="69"/>
      <c r="C117" s="303" t="s">
        <v>261</v>
      </c>
      <c r="D117" s="304"/>
      <c r="E117" s="304"/>
      <c r="F117" s="304"/>
      <c r="G117" s="304"/>
      <c r="H117" s="304"/>
      <c r="I117" s="304"/>
      <c r="J117" s="305"/>
      <c r="K117" s="71"/>
    </row>
    <row r="118" spans="2:11" x14ac:dyDescent="0.3">
      <c r="B118" s="69"/>
      <c r="C118" s="74"/>
      <c r="D118" s="74"/>
      <c r="E118" s="74"/>
      <c r="F118" s="74"/>
      <c r="G118" s="74"/>
      <c r="H118" s="74"/>
      <c r="I118" s="74"/>
      <c r="J118" s="74"/>
      <c r="K118" s="71"/>
    </row>
    <row r="119" spans="2:11" ht="28.8" x14ac:dyDescent="0.3">
      <c r="B119" s="69"/>
      <c r="C119" s="49" t="s">
        <v>262</v>
      </c>
      <c r="D119" s="74"/>
      <c r="E119" s="74"/>
      <c r="F119" s="74"/>
      <c r="G119" s="74"/>
      <c r="H119" s="74"/>
      <c r="I119" s="74"/>
      <c r="J119" s="74"/>
      <c r="K119" s="71"/>
    </row>
    <row r="120" spans="2:11" x14ac:dyDescent="0.3">
      <c r="B120" s="69"/>
      <c r="C120" s="93"/>
      <c r="D120" s="74"/>
      <c r="E120" s="74"/>
      <c r="F120" s="74"/>
      <c r="G120" s="74"/>
      <c r="H120" s="74"/>
      <c r="I120" s="74"/>
      <c r="J120" s="74"/>
      <c r="K120" s="71"/>
    </row>
    <row r="121" spans="2:11" x14ac:dyDescent="0.3">
      <c r="B121" s="69"/>
      <c r="C121" s="74"/>
      <c r="D121" s="74"/>
      <c r="E121" s="74"/>
      <c r="F121" s="74"/>
      <c r="G121" s="74"/>
      <c r="H121" s="74"/>
      <c r="I121" s="74"/>
      <c r="J121" s="74"/>
      <c r="K121" s="71"/>
    </row>
    <row r="122" spans="2:11" x14ac:dyDescent="0.3">
      <c r="B122" s="69"/>
      <c r="C122" s="74"/>
      <c r="D122" s="74"/>
      <c r="E122" s="74"/>
      <c r="F122" s="74"/>
      <c r="G122" s="74"/>
      <c r="H122" s="74"/>
      <c r="I122" s="74"/>
      <c r="J122" s="74"/>
      <c r="K122" s="71"/>
    </row>
    <row r="123" spans="2:11" x14ac:dyDescent="0.3">
      <c r="B123" s="69"/>
      <c r="C123" s="74"/>
      <c r="D123" s="74"/>
      <c r="E123" s="74"/>
      <c r="F123" s="74"/>
      <c r="G123" s="74"/>
      <c r="H123" s="74"/>
      <c r="I123" s="74"/>
      <c r="J123" s="74"/>
      <c r="K123" s="71"/>
    </row>
    <row r="124" spans="2:11" ht="18" x14ac:dyDescent="0.3">
      <c r="B124" s="65"/>
      <c r="C124" s="299" t="s">
        <v>197</v>
      </c>
      <c r="D124" s="300"/>
      <c r="E124" s="300"/>
      <c r="F124" s="300"/>
      <c r="G124" s="300"/>
      <c r="H124" s="300"/>
      <c r="I124" s="300"/>
      <c r="J124" s="301"/>
      <c r="K124" s="66"/>
    </row>
    <row r="125" spans="2:11" x14ac:dyDescent="0.3">
      <c r="B125" s="69"/>
      <c r="C125" s="74"/>
      <c r="D125" s="74"/>
      <c r="E125" s="74"/>
      <c r="F125" s="74"/>
      <c r="G125" s="74"/>
      <c r="H125" s="74"/>
      <c r="I125" s="74"/>
      <c r="J125" s="74"/>
      <c r="K125" s="71"/>
    </row>
    <row r="126" spans="2:11" ht="28.8" x14ac:dyDescent="0.3">
      <c r="B126" s="69"/>
      <c r="C126" s="73" t="s">
        <v>205</v>
      </c>
      <c r="D126" s="74"/>
      <c r="E126" s="302" t="s">
        <v>285</v>
      </c>
      <c r="F126" s="302"/>
      <c r="G126" s="74"/>
      <c r="H126" s="74"/>
      <c r="I126" s="182"/>
      <c r="J126" s="183"/>
      <c r="K126" s="71"/>
    </row>
    <row r="127" spans="2:11" x14ac:dyDescent="0.3">
      <c r="B127" s="69"/>
      <c r="C127" s="78">
        <v>1</v>
      </c>
      <c r="D127" s="74"/>
      <c r="E127" s="281">
        <v>0</v>
      </c>
      <c r="F127" s="281"/>
      <c r="G127" s="74"/>
      <c r="H127" s="74"/>
      <c r="I127" s="74"/>
      <c r="J127" s="74"/>
      <c r="K127" s="71"/>
    </row>
    <row r="128" spans="2:11" x14ac:dyDescent="0.3">
      <c r="B128" s="76"/>
      <c r="C128" s="77"/>
      <c r="D128" s="80"/>
      <c r="E128" s="77"/>
      <c r="F128" s="74"/>
      <c r="G128" s="77"/>
      <c r="H128" s="74"/>
      <c r="I128" s="74"/>
      <c r="J128" s="74"/>
      <c r="K128" s="66"/>
    </row>
    <row r="129" spans="2:11" x14ac:dyDescent="0.3">
      <c r="B129" s="76"/>
      <c r="C129" s="99"/>
      <c r="D129" s="95"/>
      <c r="E129" s="77"/>
      <c r="F129" s="74"/>
      <c r="G129" s="77"/>
      <c r="H129" s="74"/>
      <c r="I129" s="74"/>
      <c r="J129" s="74"/>
      <c r="K129" s="66"/>
    </row>
    <row r="130" spans="2:11" x14ac:dyDescent="0.3">
      <c r="B130" s="69"/>
      <c r="C130" s="100"/>
      <c r="D130" s="96"/>
      <c r="E130" s="74"/>
      <c r="F130" s="74"/>
      <c r="G130" s="74"/>
      <c r="H130" s="74"/>
      <c r="I130" s="74"/>
      <c r="J130" s="74"/>
      <c r="K130" s="71"/>
    </row>
    <row r="131" spans="2:11" x14ac:dyDescent="0.3">
      <c r="B131" s="76"/>
      <c r="C131" s="97"/>
      <c r="D131" s="98"/>
      <c r="E131" s="77"/>
      <c r="F131" s="74"/>
      <c r="G131" s="77"/>
      <c r="H131" s="74"/>
      <c r="I131" s="74"/>
      <c r="J131" s="74"/>
      <c r="K131" s="66"/>
    </row>
    <row r="132" spans="2:11" x14ac:dyDescent="0.3">
      <c r="B132" s="76"/>
      <c r="C132" s="77"/>
      <c r="D132" s="80"/>
      <c r="E132" s="77"/>
      <c r="F132" s="74"/>
      <c r="G132" s="77"/>
      <c r="H132" s="74"/>
      <c r="I132" s="74"/>
      <c r="J132" s="74"/>
      <c r="K132" s="66"/>
    </row>
    <row r="133" spans="2:11" x14ac:dyDescent="0.3">
      <c r="B133" s="69"/>
      <c r="C133" s="74"/>
      <c r="D133" s="74"/>
      <c r="E133" s="74"/>
      <c r="F133" s="74"/>
      <c r="G133" s="74"/>
      <c r="H133" s="74"/>
      <c r="I133" s="74"/>
      <c r="J133" s="74"/>
      <c r="K133" s="71"/>
    </row>
    <row r="134" spans="2:11" x14ac:dyDescent="0.3">
      <c r="B134" s="76"/>
      <c r="C134" s="74"/>
      <c r="D134" s="74"/>
      <c r="E134" s="77"/>
      <c r="F134" s="74"/>
      <c r="G134" s="77"/>
      <c r="H134" s="74"/>
      <c r="I134" s="74"/>
      <c r="J134" s="74"/>
      <c r="K134" s="66"/>
    </row>
    <row r="135" spans="2:11" x14ac:dyDescent="0.3">
      <c r="B135" s="86"/>
      <c r="C135" s="87"/>
      <c r="D135" s="87"/>
      <c r="E135" s="87"/>
      <c r="F135" s="88"/>
      <c r="G135" s="87"/>
      <c r="H135" s="88"/>
      <c r="I135" s="88"/>
      <c r="J135" s="88"/>
      <c r="K135" s="89"/>
    </row>
  </sheetData>
  <mergeCells count="33">
    <mergeCell ref="G15:H15"/>
    <mergeCell ref="G17:H17"/>
    <mergeCell ref="G18:H18"/>
    <mergeCell ref="O13:P13"/>
    <mergeCell ref="E126:F126"/>
    <mergeCell ref="C45:J45"/>
    <mergeCell ref="C47:J47"/>
    <mergeCell ref="C117:J117"/>
    <mergeCell ref="C20:C27"/>
    <mergeCell ref="C28:C34"/>
    <mergeCell ref="E127:F127"/>
    <mergeCell ref="C11:J11"/>
    <mergeCell ref="G20:H20"/>
    <mergeCell ref="O11:P11"/>
    <mergeCell ref="C35:C38"/>
    <mergeCell ref="G13:I13"/>
    <mergeCell ref="G14:H14"/>
    <mergeCell ref="G16:H16"/>
    <mergeCell ref="G19:H19"/>
    <mergeCell ref="G22:H22"/>
    <mergeCell ref="G23:H23"/>
    <mergeCell ref="C13:E13"/>
    <mergeCell ref="C14:C19"/>
    <mergeCell ref="G21:H21"/>
    <mergeCell ref="C39:C42"/>
    <mergeCell ref="C124:J124"/>
    <mergeCell ref="O5:P5"/>
    <mergeCell ref="O7:P7"/>
    <mergeCell ref="O8:P8"/>
    <mergeCell ref="O9:P9"/>
    <mergeCell ref="C3:J3"/>
    <mergeCell ref="C5:J5"/>
    <mergeCell ref="O3:Q3"/>
  </mergeCells>
  <dataValidations count="8">
    <dataValidation type="list" allowBlank="1" showErrorMessage="1" sqref="C84:C89" xr:uid="{00000000-0002-0000-0000-000000000000}">
      <formula1>Food_Preservation_List</formula1>
    </dataValidation>
    <dataValidation type="list" allowBlank="1" showErrorMessage="1" sqref="C77:C82" xr:uid="{00000000-0002-0000-0000-000002000000}">
      <formula1>Entertainment_List</formula1>
    </dataValidation>
    <dataValidation type="list" allowBlank="1" showErrorMessage="1" sqref="C101:C105" xr:uid="{00000000-0002-0000-0000-000003000000}">
      <formula1>Lighting_List</formula1>
    </dataValidation>
    <dataValidation type="list" allowBlank="1" showErrorMessage="1" sqref="C51:C56" xr:uid="{00000000-0002-0000-0000-000005000000}">
      <formula1>Communications_List</formula1>
    </dataValidation>
    <dataValidation type="list" allowBlank="1" showErrorMessage="1" sqref="C107:C115" xr:uid="{00000000-0002-0000-0000-000006000000}">
      <formula1>Water_Wastewater_List</formula1>
    </dataValidation>
    <dataValidation type="list" allowBlank="1" showErrorMessage="1" sqref="C58:C65" xr:uid="{00000000-0002-0000-0000-000009000000}">
      <formula1>Cooking_List</formula1>
    </dataValidation>
    <dataValidation type="list" allowBlank="1" showErrorMessage="1" sqref="C67:C75" xr:uid="{00000000-0002-0000-0000-00000A000000}">
      <formula1>Discretionary_Appliances_List</formula1>
    </dataValidation>
    <dataValidation type="list" allowBlank="1" showErrorMessage="1" sqref="C91:C99" xr:uid="{00000000-0002-0000-0000-00000B000000}">
      <formula1>Heating_Cooling_HVAC_List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4" name="Button 18">
              <controlPr defaultSize="0" print="0" autoFill="0" autoPict="0" macro="[0]!Sheet1.Check_PV_storage">
                <anchor moveWithCells="1" sizeWithCells="1">
                  <from>
                    <xdr:col>2</xdr:col>
                    <xdr:colOff>68580</xdr:colOff>
                    <xdr:row>128</xdr:row>
                    <xdr:rowOff>68580</xdr:rowOff>
                  </from>
                  <to>
                    <xdr:col>3</xdr:col>
                    <xdr:colOff>1722120</xdr:colOff>
                    <xdr:row>130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5" name="Check Box 19">
              <controlPr defaultSize="0" autoFill="0" autoLine="0" autoPict="0">
                <anchor moveWithCells="1">
                  <from>
                    <xdr:col>2</xdr:col>
                    <xdr:colOff>906780</xdr:colOff>
                    <xdr:row>119</xdr:row>
                    <xdr:rowOff>0</xdr:rowOff>
                  </from>
                  <to>
                    <xdr:col>2</xdr:col>
                    <xdr:colOff>1935480</xdr:colOff>
                    <xdr:row>120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xr:uid="{00000000-0002-0000-0000-000004000000}">
          <x14:formula1>
            <xm:f>'List Options'!$B$13:$B$15</xm:f>
          </x14:formula1>
          <xm:sqref>E37</xm:sqref>
        </x14:dataValidation>
        <x14:dataValidation type="list" allowBlank="1" xr:uid="{00000000-0002-0000-0000-000007000000}">
          <x14:formula1>
            <xm:f>'List Options'!$B$18:$B$21</xm:f>
          </x14:formula1>
          <xm:sqref>E41</xm:sqref>
        </x14:dataValidation>
        <x14:dataValidation type="list" allowBlank="1" showInputMessage="1" showErrorMessage="1" xr:uid="{C21D3E2B-F4CD-497E-A1E0-8A387CEA2F97}">
          <x14:formula1>
            <xm:f>'List Options'!$B$13:$B$14</xm:f>
          </x14:formula1>
          <xm:sqref>E26</xm:sqref>
        </x14:dataValidation>
        <x14:dataValidation type="list" allowBlank="1" showErrorMessage="1" xr:uid="{C886F3B5-A2B1-4A6B-AB15-C8F1CD4F47F3}">
          <x14:formula1>
            <xm:f>'List Options'!$B$24:$B$31</xm:f>
          </x14:formula1>
          <xm:sqref>C8</xm:sqref>
        </x14:dataValidation>
        <x14:dataValidation type="list" allowBlank="1" showInputMessage="1" showErrorMessage="1" xr:uid="{DC5EA2B3-5BF7-4F25-8114-D72A8C3EC6DF}">
          <x14:formula1>
            <xm:f>'List Options'!$B$34:$B$36</xm:f>
          </x14:formula1>
          <xm:sqref>G8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O1003"/>
  <sheetViews>
    <sheetView zoomScale="70" zoomScaleNormal="70" workbookViewId="0"/>
  </sheetViews>
  <sheetFormatPr defaultColWidth="14.44140625" defaultRowHeight="15" customHeight="1" x14ac:dyDescent="0.3"/>
  <cols>
    <col min="1" max="1" width="8.6640625" customWidth="1"/>
    <col min="2" max="2" width="12.77734375" customWidth="1"/>
    <col min="3" max="3" width="4.77734375" customWidth="1"/>
    <col min="4" max="10" width="12.77734375" customWidth="1"/>
    <col min="11" max="11" width="5.5546875" bestFit="1" customWidth="1"/>
    <col min="12" max="12" width="11.44140625" customWidth="1"/>
    <col min="13" max="13" width="4.77734375" customWidth="1"/>
    <col min="14" max="14" width="9" customWidth="1"/>
    <col min="15" max="15" width="4.77734375" customWidth="1"/>
    <col min="16" max="16" width="8.77734375" customWidth="1"/>
    <col min="17" max="17" width="9.88671875" customWidth="1"/>
    <col min="18" max="18" width="10.21875" bestFit="1" customWidth="1"/>
    <col min="19" max="75" width="10.77734375" customWidth="1"/>
    <col min="76" max="76" width="12.77734375" customWidth="1"/>
    <col min="77" max="133" width="10.77734375" customWidth="1"/>
  </cols>
  <sheetData>
    <row r="1" spans="1:145" ht="15" customHeight="1" x14ac:dyDescent="0.3">
      <c r="I1" s="39"/>
      <c r="L1" s="122"/>
      <c r="S1" s="39"/>
      <c r="T1" s="39"/>
      <c r="U1" s="250"/>
      <c r="V1" s="250"/>
      <c r="W1" s="39"/>
    </row>
    <row r="2" spans="1:145" ht="15" customHeight="1" x14ac:dyDescent="0.3">
      <c r="F2" s="39"/>
      <c r="L2" s="8" t="s">
        <v>201</v>
      </c>
      <c r="N2" s="108"/>
      <c r="P2" s="39"/>
      <c r="R2" s="8" t="s">
        <v>202</v>
      </c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</row>
    <row r="3" spans="1:145" ht="15" customHeight="1" x14ac:dyDescent="0.35">
      <c r="D3" s="39">
        <f t="shared" ref="D3:J3" si="0">SUM(D7:D102)/4</f>
        <v>0</v>
      </c>
      <c r="E3" s="39">
        <f t="shared" si="0"/>
        <v>0</v>
      </c>
      <c r="F3" s="39">
        <f t="shared" si="0"/>
        <v>0</v>
      </c>
      <c r="G3" s="39">
        <f t="shared" si="0"/>
        <v>0</v>
      </c>
      <c r="H3" s="39">
        <f t="shared" si="0"/>
        <v>0</v>
      </c>
      <c r="I3" s="39">
        <f t="shared" si="0"/>
        <v>0</v>
      </c>
      <c r="J3" s="39">
        <f t="shared" si="0"/>
        <v>0</v>
      </c>
      <c r="L3" s="106">
        <f>SUM(L7:L102)/4</f>
        <v>0</v>
      </c>
      <c r="N3" s="39">
        <f>P3-D112-G112</f>
        <v>0</v>
      </c>
      <c r="P3" s="39">
        <f>SUM(P7:P102)/4</f>
        <v>0</v>
      </c>
      <c r="R3" s="8" t="s">
        <v>231</v>
      </c>
      <c r="S3" s="39" t="str">
        <f>IF(S2=0,"",SUM(S7:S102)/4)</f>
        <v/>
      </c>
      <c r="T3" s="39" t="str">
        <f>IF(T2=0,"",SUM(T7:T102)/4)</f>
        <v/>
      </c>
      <c r="U3" s="39" t="str">
        <f>IF(U2=0,"",SUM(U7:U102)/4)</f>
        <v/>
      </c>
      <c r="V3" s="39" t="str">
        <f>IF(V2=0,"",SUM(V7:V102)/4)</f>
        <v/>
      </c>
      <c r="W3" s="39" t="str">
        <f>IF(W2=0,"",SUM(W7:W102)/4)</f>
        <v/>
      </c>
      <c r="X3" s="39" t="str">
        <f t="shared" ref="X3:AX3" si="1">IF(X2=0,"",SUM(X7:X102)/4)</f>
        <v/>
      </c>
      <c r="Y3" s="39"/>
      <c r="Z3" s="39" t="str">
        <f t="shared" si="1"/>
        <v/>
      </c>
      <c r="AA3" s="39" t="str">
        <f t="shared" si="1"/>
        <v/>
      </c>
      <c r="AB3" s="39" t="str">
        <f t="shared" si="1"/>
        <v/>
      </c>
      <c r="AC3" s="39" t="str">
        <f t="shared" si="1"/>
        <v/>
      </c>
      <c r="AD3" s="39" t="str">
        <f t="shared" si="1"/>
        <v/>
      </c>
      <c r="AE3" s="39" t="str">
        <f t="shared" si="1"/>
        <v/>
      </c>
      <c r="AF3" s="39" t="str">
        <f t="shared" si="1"/>
        <v/>
      </c>
      <c r="AG3" s="39" t="str">
        <f t="shared" si="1"/>
        <v/>
      </c>
      <c r="AH3" s="39" t="str">
        <f t="shared" si="1"/>
        <v/>
      </c>
      <c r="AI3" s="39" t="str">
        <f t="shared" si="1"/>
        <v/>
      </c>
      <c r="AJ3" s="39" t="str">
        <f t="shared" si="1"/>
        <v/>
      </c>
      <c r="AK3" s="39" t="str">
        <f t="shared" si="1"/>
        <v/>
      </c>
      <c r="AL3" s="39" t="str">
        <f t="shared" si="1"/>
        <v/>
      </c>
      <c r="AM3" s="39" t="str">
        <f t="shared" si="1"/>
        <v/>
      </c>
      <c r="AN3" s="39" t="str">
        <f t="shared" si="1"/>
        <v/>
      </c>
      <c r="AO3" s="39" t="str">
        <f t="shared" si="1"/>
        <v/>
      </c>
      <c r="AP3" s="39" t="str">
        <f t="shared" si="1"/>
        <v/>
      </c>
      <c r="AQ3" s="39" t="str">
        <f t="shared" si="1"/>
        <v/>
      </c>
      <c r="AR3" s="39" t="str">
        <f t="shared" si="1"/>
        <v/>
      </c>
      <c r="AS3" s="39" t="str">
        <f t="shared" si="1"/>
        <v/>
      </c>
      <c r="AT3" s="39" t="str">
        <f t="shared" si="1"/>
        <v/>
      </c>
      <c r="AU3" s="39" t="str">
        <f t="shared" si="1"/>
        <v/>
      </c>
      <c r="AV3" s="39" t="str">
        <f t="shared" si="1"/>
        <v/>
      </c>
      <c r="AW3" s="39" t="str">
        <f t="shared" si="1"/>
        <v/>
      </c>
      <c r="AX3" s="39" t="str">
        <f t="shared" si="1"/>
        <v/>
      </c>
      <c r="AY3" s="39" t="str">
        <f t="shared" ref="AY3:BW3" si="2">IF(AY2=0,"",SUM(AY7:AY102)/4)</f>
        <v/>
      </c>
      <c r="AZ3" s="39" t="str">
        <f t="shared" si="2"/>
        <v/>
      </c>
      <c r="BA3" s="39" t="str">
        <f t="shared" si="2"/>
        <v/>
      </c>
      <c r="BB3" s="39" t="str">
        <f t="shared" si="2"/>
        <v/>
      </c>
      <c r="BC3" s="39" t="str">
        <f t="shared" si="2"/>
        <v/>
      </c>
      <c r="BD3" s="39" t="str">
        <f t="shared" si="2"/>
        <v/>
      </c>
      <c r="BE3" s="39" t="str">
        <f t="shared" si="2"/>
        <v/>
      </c>
      <c r="BF3" s="39" t="str">
        <f t="shared" si="2"/>
        <v/>
      </c>
      <c r="BG3" s="39" t="str">
        <f t="shared" si="2"/>
        <v/>
      </c>
      <c r="BH3" s="39" t="str">
        <f t="shared" si="2"/>
        <v/>
      </c>
      <c r="BI3" s="39" t="str">
        <f t="shared" si="2"/>
        <v/>
      </c>
      <c r="BJ3" s="39" t="str">
        <f t="shared" si="2"/>
        <v/>
      </c>
      <c r="BK3" s="39" t="str">
        <f t="shared" si="2"/>
        <v/>
      </c>
      <c r="BL3" s="39" t="str">
        <f t="shared" si="2"/>
        <v/>
      </c>
      <c r="BM3" s="39" t="str">
        <f t="shared" si="2"/>
        <v/>
      </c>
      <c r="BN3" s="39" t="str">
        <f t="shared" si="2"/>
        <v/>
      </c>
      <c r="BO3" s="39" t="str">
        <f t="shared" si="2"/>
        <v/>
      </c>
      <c r="BP3" s="39" t="str">
        <f t="shared" si="2"/>
        <v/>
      </c>
      <c r="BQ3" s="39" t="str">
        <f t="shared" si="2"/>
        <v/>
      </c>
      <c r="BR3" s="39" t="str">
        <f t="shared" si="2"/>
        <v/>
      </c>
      <c r="BS3" s="39" t="str">
        <f t="shared" si="2"/>
        <v/>
      </c>
      <c r="BT3" s="39" t="str">
        <f t="shared" si="2"/>
        <v/>
      </c>
      <c r="BU3" s="39" t="str">
        <f t="shared" si="2"/>
        <v/>
      </c>
      <c r="BV3" s="39" t="str">
        <f t="shared" si="2"/>
        <v/>
      </c>
      <c r="BW3" s="39" t="str">
        <f t="shared" si="2"/>
        <v/>
      </c>
    </row>
    <row r="4" spans="1:145" ht="14.25" customHeight="1" x14ac:dyDescent="0.3">
      <c r="R4" s="8" t="s">
        <v>203</v>
      </c>
      <c r="S4" s="107" t="str">
        <f>IF(S2=0,"",S3-S2)</f>
        <v/>
      </c>
      <c r="T4" s="107" t="str">
        <f>IF(T2=0,"",T3-T2)</f>
        <v/>
      </c>
      <c r="U4" s="107" t="str">
        <f>IF(U2=0,"",U3-U2)</f>
        <v/>
      </c>
      <c r="V4" s="107" t="str">
        <f>IF(V2=0,"",V3-V2)</f>
        <v/>
      </c>
      <c r="W4" s="107" t="str">
        <f>IF(W2=0,"",W3-W2)</f>
        <v/>
      </c>
      <c r="X4" s="107" t="str">
        <f t="shared" ref="X4:BW4" si="3">IF(X2=0,"",X3-X2)</f>
        <v/>
      </c>
      <c r="Y4" s="107" t="str">
        <f t="shared" si="3"/>
        <v/>
      </c>
      <c r="Z4" s="107" t="str">
        <f t="shared" si="3"/>
        <v/>
      </c>
      <c r="AA4" s="107" t="str">
        <f t="shared" si="3"/>
        <v/>
      </c>
      <c r="AB4" s="107" t="str">
        <f t="shared" si="3"/>
        <v/>
      </c>
      <c r="AC4" s="107" t="str">
        <f t="shared" si="3"/>
        <v/>
      </c>
      <c r="AD4" s="107" t="str">
        <f t="shared" si="3"/>
        <v/>
      </c>
      <c r="AE4" s="107" t="str">
        <f t="shared" si="3"/>
        <v/>
      </c>
      <c r="AF4" s="107" t="str">
        <f t="shared" si="3"/>
        <v/>
      </c>
      <c r="AG4" s="107" t="str">
        <f t="shared" si="3"/>
        <v/>
      </c>
      <c r="AH4" s="107" t="str">
        <f t="shared" si="3"/>
        <v/>
      </c>
      <c r="AI4" s="107" t="str">
        <f t="shared" si="3"/>
        <v/>
      </c>
      <c r="AJ4" s="107" t="str">
        <f t="shared" si="3"/>
        <v/>
      </c>
      <c r="AK4" s="107" t="str">
        <f t="shared" si="3"/>
        <v/>
      </c>
      <c r="AL4" s="107" t="str">
        <f t="shared" si="3"/>
        <v/>
      </c>
      <c r="AM4" s="107" t="str">
        <f t="shared" si="3"/>
        <v/>
      </c>
      <c r="AN4" s="107" t="str">
        <f t="shared" si="3"/>
        <v/>
      </c>
      <c r="AO4" s="107" t="str">
        <f t="shared" si="3"/>
        <v/>
      </c>
      <c r="AP4" s="107" t="str">
        <f t="shared" si="3"/>
        <v/>
      </c>
      <c r="AQ4" s="107" t="str">
        <f t="shared" si="3"/>
        <v/>
      </c>
      <c r="AR4" s="107" t="str">
        <f t="shared" si="3"/>
        <v/>
      </c>
      <c r="AS4" s="107" t="str">
        <f t="shared" si="3"/>
        <v/>
      </c>
      <c r="AT4" s="107" t="str">
        <f t="shared" si="3"/>
        <v/>
      </c>
      <c r="AU4" s="107" t="str">
        <f t="shared" si="3"/>
        <v/>
      </c>
      <c r="AV4" s="107" t="str">
        <f t="shared" si="3"/>
        <v/>
      </c>
      <c r="AW4" s="107" t="str">
        <f t="shared" si="3"/>
        <v/>
      </c>
      <c r="AX4" s="107" t="str">
        <f t="shared" si="3"/>
        <v/>
      </c>
      <c r="AY4" s="107" t="str">
        <f t="shared" si="3"/>
        <v/>
      </c>
      <c r="AZ4" s="107" t="str">
        <f t="shared" si="3"/>
        <v/>
      </c>
      <c r="BA4" s="107" t="str">
        <f t="shared" si="3"/>
        <v/>
      </c>
      <c r="BB4" s="107" t="str">
        <f t="shared" si="3"/>
        <v/>
      </c>
      <c r="BC4" s="107" t="str">
        <f t="shared" si="3"/>
        <v/>
      </c>
      <c r="BD4" s="107" t="str">
        <f t="shared" si="3"/>
        <v/>
      </c>
      <c r="BE4" s="107" t="str">
        <f t="shared" si="3"/>
        <v/>
      </c>
      <c r="BF4" s="107" t="str">
        <f t="shared" si="3"/>
        <v/>
      </c>
      <c r="BG4" s="107" t="str">
        <f t="shared" si="3"/>
        <v/>
      </c>
      <c r="BH4" s="107" t="str">
        <f t="shared" si="3"/>
        <v/>
      </c>
      <c r="BI4" s="107" t="str">
        <f t="shared" si="3"/>
        <v/>
      </c>
      <c r="BJ4" s="107" t="str">
        <f t="shared" si="3"/>
        <v/>
      </c>
      <c r="BK4" s="107" t="str">
        <f t="shared" si="3"/>
        <v/>
      </c>
      <c r="BL4" s="107" t="str">
        <f t="shared" si="3"/>
        <v/>
      </c>
      <c r="BM4" s="107" t="str">
        <f t="shared" si="3"/>
        <v/>
      </c>
      <c r="BN4" s="107" t="str">
        <f t="shared" si="3"/>
        <v/>
      </c>
      <c r="BO4" s="107" t="str">
        <f t="shared" si="3"/>
        <v/>
      </c>
      <c r="BP4" s="107" t="str">
        <f t="shared" si="3"/>
        <v/>
      </c>
      <c r="BQ4" s="107" t="str">
        <f t="shared" si="3"/>
        <v/>
      </c>
      <c r="BR4" s="107" t="str">
        <f t="shared" si="3"/>
        <v/>
      </c>
      <c r="BS4" s="107" t="str">
        <f t="shared" si="3"/>
        <v/>
      </c>
      <c r="BT4" s="107" t="str">
        <f t="shared" si="3"/>
        <v/>
      </c>
      <c r="BU4" s="107" t="str">
        <f t="shared" si="3"/>
        <v/>
      </c>
      <c r="BV4" s="107" t="str">
        <f t="shared" si="3"/>
        <v/>
      </c>
      <c r="BW4" s="107" t="str">
        <f t="shared" si="3"/>
        <v/>
      </c>
    </row>
    <row r="5" spans="1:145" ht="14.4" x14ac:dyDescent="0.3">
      <c r="D5" s="307" t="s">
        <v>195</v>
      </c>
      <c r="E5" s="308"/>
      <c r="F5" s="309"/>
      <c r="G5" s="309"/>
      <c r="H5" s="309"/>
      <c r="I5" s="310"/>
      <c r="J5" s="311"/>
      <c r="L5" s="38"/>
      <c r="P5" s="1"/>
      <c r="S5" s="146" t="s">
        <v>46</v>
      </c>
      <c r="T5" s="147"/>
      <c r="U5" s="147"/>
      <c r="V5" s="147"/>
      <c r="W5" s="147"/>
      <c r="X5" s="147"/>
      <c r="Y5" s="147"/>
      <c r="Z5" s="147"/>
      <c r="AA5" s="147"/>
      <c r="AB5" s="147"/>
      <c r="AC5" s="147"/>
      <c r="AD5" s="147"/>
      <c r="AE5" s="147"/>
      <c r="AF5" s="147"/>
      <c r="AG5" s="147"/>
      <c r="AH5" s="147"/>
      <c r="AI5" s="147"/>
      <c r="AJ5" s="147"/>
      <c r="AK5" s="147"/>
      <c r="AL5" s="147"/>
      <c r="AM5" s="147"/>
      <c r="AN5" s="147"/>
      <c r="AO5" s="147"/>
      <c r="AP5" s="147"/>
      <c r="AQ5" s="147"/>
      <c r="AR5" s="147"/>
      <c r="AS5" s="147"/>
      <c r="AT5" s="147"/>
      <c r="AU5" s="147"/>
      <c r="AV5" s="147"/>
      <c r="AW5" s="147"/>
      <c r="AX5" s="147"/>
      <c r="AY5" s="147"/>
      <c r="AZ5" s="147"/>
      <c r="BA5" s="147"/>
      <c r="BB5" s="147"/>
      <c r="BC5" s="147"/>
      <c r="BD5" s="147"/>
      <c r="BE5" s="147"/>
      <c r="BF5" s="147"/>
      <c r="BG5" s="147"/>
      <c r="BH5" s="147"/>
      <c r="BI5" s="147"/>
      <c r="BJ5" s="147"/>
      <c r="BK5" s="147"/>
      <c r="BL5" s="147"/>
      <c r="BM5" s="147"/>
      <c r="BN5" s="147"/>
      <c r="BO5" s="147"/>
      <c r="BP5" s="147"/>
      <c r="BQ5" s="147"/>
      <c r="BR5" s="147"/>
      <c r="BS5" s="147"/>
      <c r="BT5" s="147"/>
      <c r="BU5" s="147"/>
      <c r="BV5" s="147"/>
      <c r="BW5" s="147"/>
      <c r="BX5" s="2"/>
      <c r="BY5" s="144" t="s">
        <v>47</v>
      </c>
      <c r="BZ5" s="145"/>
      <c r="CA5" s="145"/>
      <c r="CB5" s="145"/>
      <c r="CC5" s="145"/>
      <c r="CD5" s="145"/>
      <c r="CE5" s="145"/>
      <c r="CF5" s="145"/>
      <c r="CG5" s="145"/>
      <c r="CH5" s="145"/>
      <c r="CI5" s="145"/>
      <c r="CJ5" s="145"/>
      <c r="CK5" s="145"/>
      <c r="CL5" s="145"/>
      <c r="CM5" s="145"/>
      <c r="CN5" s="145"/>
      <c r="CO5" s="145"/>
      <c r="CP5" s="145"/>
      <c r="CQ5" s="145"/>
      <c r="CR5" s="145"/>
      <c r="CS5" s="145"/>
      <c r="CT5" s="145"/>
      <c r="CU5" s="145"/>
      <c r="CV5" s="145"/>
      <c r="CW5" s="145"/>
      <c r="CX5" s="145"/>
      <c r="CY5" s="145"/>
      <c r="CZ5" s="145"/>
      <c r="DA5" s="145"/>
      <c r="DB5" s="145"/>
      <c r="DC5" s="145"/>
      <c r="DD5" s="145"/>
      <c r="DE5" s="145"/>
      <c r="DF5" s="145"/>
      <c r="DG5" s="145"/>
      <c r="DH5" s="145"/>
      <c r="DI5" s="145"/>
      <c r="DJ5" s="145"/>
      <c r="DK5" s="145"/>
      <c r="DL5" s="145"/>
      <c r="DM5" s="145"/>
      <c r="DN5" s="145"/>
      <c r="DO5" s="145"/>
      <c r="DP5" s="145"/>
      <c r="DQ5" s="145"/>
      <c r="DR5" s="145"/>
      <c r="DS5" s="145"/>
      <c r="DT5" s="145"/>
      <c r="DU5" s="145"/>
      <c r="DV5" s="145"/>
      <c r="DW5" s="145"/>
      <c r="DX5" s="145"/>
      <c r="DY5" s="145"/>
      <c r="DZ5" s="145"/>
      <c r="EA5" s="145"/>
      <c r="EB5" s="145"/>
      <c r="EC5" s="145"/>
      <c r="EF5" s="312" t="s">
        <v>236</v>
      </c>
      <c r="EG5" s="313"/>
      <c r="EH5" s="314"/>
      <c r="EJ5" s="312" t="s">
        <v>243</v>
      </c>
      <c r="EK5" s="313"/>
      <c r="EL5" s="314"/>
      <c r="EM5" s="312" t="s">
        <v>244</v>
      </c>
      <c r="EN5" s="313"/>
      <c r="EO5" s="314"/>
    </row>
    <row r="6" spans="1:145" s="5" customFormat="1" ht="72" customHeight="1" x14ac:dyDescent="0.3">
      <c r="B6" s="8" t="s">
        <v>48</v>
      </c>
      <c r="D6" s="9" t="s">
        <v>3</v>
      </c>
      <c r="E6" s="9" t="s">
        <v>257</v>
      </c>
      <c r="F6" s="9" t="s">
        <v>258</v>
      </c>
      <c r="G6" s="10" t="s">
        <v>217</v>
      </c>
      <c r="H6" s="9" t="s">
        <v>5</v>
      </c>
      <c r="I6" s="9" t="s">
        <v>165</v>
      </c>
      <c r="J6" s="9" t="s">
        <v>220</v>
      </c>
      <c r="K6" s="109"/>
      <c r="L6" s="8" t="s">
        <v>196</v>
      </c>
      <c r="N6" s="11" t="s">
        <v>194</v>
      </c>
      <c r="P6" s="8" t="s">
        <v>187</v>
      </c>
      <c r="Q6" s="8" t="s">
        <v>238</v>
      </c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12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F6" s="9" t="s">
        <v>235</v>
      </c>
      <c r="EG6" s="9" t="s">
        <v>234</v>
      </c>
      <c r="EH6" s="9" t="s">
        <v>237</v>
      </c>
      <c r="EJ6" s="9" t="s">
        <v>3</v>
      </c>
      <c r="EK6" s="9" t="s">
        <v>4</v>
      </c>
      <c r="EL6" s="10" t="s">
        <v>217</v>
      </c>
      <c r="EM6" s="9" t="s">
        <v>3</v>
      </c>
      <c r="EN6" s="9" t="s">
        <v>4</v>
      </c>
      <c r="EO6" s="10" t="s">
        <v>217</v>
      </c>
    </row>
    <row r="7" spans="1:145" ht="14.25" customHeight="1" x14ac:dyDescent="0.3">
      <c r="B7" s="3">
        <f>'User Interface'!E127</f>
        <v>0</v>
      </c>
      <c r="D7" s="1">
        <f>'User Interface'!$E$14*1000*'Optimization Results'!D7</f>
        <v>0</v>
      </c>
      <c r="E7" s="1">
        <f>'User Interface'!$E$20*1000*'Optimization Results'!E7</f>
        <v>0</v>
      </c>
      <c r="F7" s="1">
        <f>'User Interface'!$E$20*1000*'Optimization Results'!F7</f>
        <v>0</v>
      </c>
      <c r="G7" s="1">
        <f>'User Interface'!$E$29*1000*'Optimization Results'!G7</f>
        <v>0</v>
      </c>
      <c r="H7" s="1">
        <f>'User Interface'!$E$35*1000*'Optimization Results'!H7</f>
        <v>0</v>
      </c>
      <c r="I7" s="1">
        <f>'User Interface'!$E$39*1000*'Optimization Results'!I7</f>
        <v>0</v>
      </c>
      <c r="J7">
        <v>0</v>
      </c>
      <c r="K7" s="1"/>
      <c r="L7" s="1">
        <f>SUM(D7:J7)</f>
        <v>0</v>
      </c>
      <c r="M7" s="1"/>
      <c r="N7" s="105">
        <f>L7-P7</f>
        <v>0</v>
      </c>
      <c r="O7" s="1"/>
      <c r="P7" s="1">
        <f xml:space="preserve"> SUM(S7:BW7)</f>
        <v>0</v>
      </c>
      <c r="Q7" s="1">
        <f>MAX(BY7:EC7)</f>
        <v>0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F7">
        <f>SUM('User Interface'!$E$14,'User Interface'!$E$20,'User Interface'!$E$29,'User Interface'!$E$35,'User Interface'!$E$39)*1000</f>
        <v>0</v>
      </c>
      <c r="EG7">
        <f>SUM('User Interface'!$E$14,'User Interface'!$E$20,'User Interface'!$E$29,'User Interface'!$E$36,'User Interface'!$E$40)*1000</f>
        <v>0</v>
      </c>
      <c r="EH7" s="159">
        <f t="shared" ref="EH7:EH38" si="4">SUM(P7:Q7)</f>
        <v>0</v>
      </c>
      <c r="EJ7" s="39">
        <f t="shared" ref="EJ7:EJ38" si="5">IF(D7&gt;0,D7,0)</f>
        <v>0</v>
      </c>
      <c r="EK7" s="39">
        <f t="shared" ref="EK7:EK38" si="6">IF(F7&gt;0,F7,0)</f>
        <v>0</v>
      </c>
      <c r="EL7" s="39">
        <f t="shared" ref="EL7:EL38" si="7">IF(G7&gt;0,G7,0)</f>
        <v>0</v>
      </c>
      <c r="EM7" s="39">
        <f t="shared" ref="EM7:EM38" si="8">IF(D7&lt;0,D7,0)</f>
        <v>0</v>
      </c>
      <c r="EN7" s="39">
        <f t="shared" ref="EN7:EN38" si="9">IF(F7&lt;0,F7,0)</f>
        <v>0</v>
      </c>
      <c r="EO7" s="39">
        <f t="shared" ref="EO7:EO38" si="10">IF(G7&lt;0,G7,0)</f>
        <v>0</v>
      </c>
    </row>
    <row r="8" spans="1:145" ht="14.25" customHeight="1" x14ac:dyDescent="0.3">
      <c r="B8" s="3">
        <f>B7+0.0104166666666667</f>
        <v>1.0416666666666701E-2</v>
      </c>
      <c r="D8" s="1">
        <f>'User Interface'!$E$14*1000*'Optimization Results'!D8</f>
        <v>0</v>
      </c>
      <c r="E8" s="1">
        <f>'User Interface'!$E$20*1000*'Optimization Results'!E8</f>
        <v>0</v>
      </c>
      <c r="F8" s="1">
        <f>'User Interface'!$E$20*1000*'Optimization Results'!F8</f>
        <v>0</v>
      </c>
      <c r="G8" s="1">
        <f>'User Interface'!$E$29*1000*'Optimization Results'!G8</f>
        <v>0</v>
      </c>
      <c r="H8" s="1">
        <f>'User Interface'!$E$35*1000*'Optimization Results'!H8</f>
        <v>0</v>
      </c>
      <c r="I8" s="1">
        <f>'User Interface'!$E$39*1000*'Optimization Results'!I8</f>
        <v>0</v>
      </c>
      <c r="J8">
        <v>0</v>
      </c>
      <c r="K8" s="1"/>
      <c r="L8" s="1">
        <f t="shared" ref="L8:L71" si="11">SUM(D8:J8)</f>
        <v>0</v>
      </c>
      <c r="M8" s="1"/>
      <c r="N8" s="105">
        <f t="shared" ref="N8:N71" si="12">L8-P8</f>
        <v>0</v>
      </c>
      <c r="O8" s="1"/>
      <c r="P8" s="1">
        <f t="shared" ref="P8:P71" si="13" xml:space="preserve"> SUM(S8:BW8)</f>
        <v>0</v>
      </c>
      <c r="Q8" s="1">
        <f t="shared" ref="Q8:Q71" si="14">MAX(BY8:EC8)</f>
        <v>0</v>
      </c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H8" s="159">
        <f t="shared" si="4"/>
        <v>0</v>
      </c>
      <c r="EJ8" s="39">
        <f t="shared" si="5"/>
        <v>0</v>
      </c>
      <c r="EK8" s="39">
        <f t="shared" si="6"/>
        <v>0</v>
      </c>
      <c r="EL8" s="39">
        <f t="shared" si="7"/>
        <v>0</v>
      </c>
      <c r="EM8" s="39">
        <f t="shared" si="8"/>
        <v>0</v>
      </c>
      <c r="EN8" s="39">
        <f t="shared" si="9"/>
        <v>0</v>
      </c>
      <c r="EO8" s="39">
        <f t="shared" si="10"/>
        <v>0</v>
      </c>
    </row>
    <row r="9" spans="1:145" ht="14.25" customHeight="1" x14ac:dyDescent="0.3">
      <c r="A9" s="184"/>
      <c r="B9" s="3">
        <f t="shared" ref="B9:B72" si="15">B8+0.0104166666666667</f>
        <v>2.0833333333333402E-2</v>
      </c>
      <c r="D9" s="1">
        <f>'User Interface'!$E$14*1000*'Optimization Results'!D9</f>
        <v>0</v>
      </c>
      <c r="E9" s="1">
        <f>'User Interface'!$E$20*1000*'Optimization Results'!E9</f>
        <v>0</v>
      </c>
      <c r="F9" s="1">
        <f>'User Interface'!$E$20*1000*'Optimization Results'!F9</f>
        <v>0</v>
      </c>
      <c r="G9" s="1">
        <f>'User Interface'!$E$29*1000*'Optimization Results'!G9</f>
        <v>0</v>
      </c>
      <c r="H9" s="1">
        <f>'User Interface'!$E$35*1000*'Optimization Results'!H9</f>
        <v>0</v>
      </c>
      <c r="I9" s="1">
        <f>'User Interface'!$E$39*1000*'Optimization Results'!I9</f>
        <v>0</v>
      </c>
      <c r="J9">
        <v>0</v>
      </c>
      <c r="K9" s="1"/>
      <c r="L9" s="1">
        <f t="shared" si="11"/>
        <v>0</v>
      </c>
      <c r="M9" s="1"/>
      <c r="N9" s="105">
        <f t="shared" si="12"/>
        <v>0</v>
      </c>
      <c r="O9" s="1"/>
      <c r="P9" s="1">
        <f t="shared" si="13"/>
        <v>0</v>
      </c>
      <c r="Q9" s="1">
        <f t="shared" si="14"/>
        <v>0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H9" s="159">
        <f t="shared" si="4"/>
        <v>0</v>
      </c>
      <c r="EJ9" s="39">
        <f t="shared" si="5"/>
        <v>0</v>
      </c>
      <c r="EK9" s="39">
        <f t="shared" si="6"/>
        <v>0</v>
      </c>
      <c r="EL9" s="39">
        <f t="shared" si="7"/>
        <v>0</v>
      </c>
      <c r="EM9" s="39">
        <f t="shared" si="8"/>
        <v>0</v>
      </c>
      <c r="EN9" s="39">
        <f t="shared" si="9"/>
        <v>0</v>
      </c>
      <c r="EO9" s="39">
        <f t="shared" si="10"/>
        <v>0</v>
      </c>
    </row>
    <row r="10" spans="1:145" ht="14.25" customHeight="1" x14ac:dyDescent="0.3">
      <c r="B10" s="3">
        <f t="shared" si="15"/>
        <v>3.1250000000000104E-2</v>
      </c>
      <c r="D10" s="1">
        <f>'User Interface'!$E$14*1000*'Optimization Results'!D10</f>
        <v>0</v>
      </c>
      <c r="E10" s="1">
        <f>'User Interface'!$E$20*1000*'Optimization Results'!E10</f>
        <v>0</v>
      </c>
      <c r="F10" s="1">
        <f>'User Interface'!$E$20*1000*'Optimization Results'!F10</f>
        <v>0</v>
      </c>
      <c r="G10" s="1">
        <f>'User Interface'!$E$29*1000*'Optimization Results'!G10</f>
        <v>0</v>
      </c>
      <c r="H10" s="1">
        <f>'User Interface'!$E$35*1000*'Optimization Results'!H10</f>
        <v>0</v>
      </c>
      <c r="I10" s="1">
        <f>'User Interface'!$E$39*1000*'Optimization Results'!I10</f>
        <v>0</v>
      </c>
      <c r="J10">
        <v>0</v>
      </c>
      <c r="K10" s="1"/>
      <c r="L10" s="1">
        <f t="shared" si="11"/>
        <v>0</v>
      </c>
      <c r="M10" s="1"/>
      <c r="N10" s="105">
        <f t="shared" si="12"/>
        <v>0</v>
      </c>
      <c r="O10" s="1"/>
      <c r="P10" s="1">
        <f t="shared" si="13"/>
        <v>0</v>
      </c>
      <c r="Q10" s="1">
        <f t="shared" si="14"/>
        <v>0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H10" s="159">
        <f t="shared" si="4"/>
        <v>0</v>
      </c>
      <c r="EJ10" s="39">
        <f t="shared" si="5"/>
        <v>0</v>
      </c>
      <c r="EK10" s="39">
        <f t="shared" si="6"/>
        <v>0</v>
      </c>
      <c r="EL10" s="39">
        <f t="shared" si="7"/>
        <v>0</v>
      </c>
      <c r="EM10" s="39">
        <f t="shared" si="8"/>
        <v>0</v>
      </c>
      <c r="EN10" s="39">
        <f t="shared" si="9"/>
        <v>0</v>
      </c>
      <c r="EO10" s="39">
        <f t="shared" si="10"/>
        <v>0</v>
      </c>
    </row>
    <row r="11" spans="1:145" ht="14.25" customHeight="1" x14ac:dyDescent="0.3">
      <c r="B11" s="3">
        <f t="shared" si="15"/>
        <v>4.1666666666666803E-2</v>
      </c>
      <c r="D11" s="1">
        <f>'User Interface'!$E$14*1000*'Optimization Results'!D11</f>
        <v>0</v>
      </c>
      <c r="E11" s="1">
        <f>'User Interface'!$E$20*1000*'Optimization Results'!E11</f>
        <v>0</v>
      </c>
      <c r="F11" s="1">
        <f>'User Interface'!$E$20*1000*'Optimization Results'!F11</f>
        <v>0</v>
      </c>
      <c r="G11" s="1">
        <f>'User Interface'!$E$29*1000*'Optimization Results'!G11</f>
        <v>0</v>
      </c>
      <c r="H11" s="1">
        <f>'User Interface'!$E$35*1000*'Optimization Results'!H11</f>
        <v>0</v>
      </c>
      <c r="I11" s="1">
        <f>'User Interface'!$E$39*1000*'Optimization Results'!I11</f>
        <v>0</v>
      </c>
      <c r="J11">
        <v>0</v>
      </c>
      <c r="K11" s="1"/>
      <c r="L11" s="1">
        <f t="shared" si="11"/>
        <v>0</v>
      </c>
      <c r="M11" s="1"/>
      <c r="N11" s="105">
        <f t="shared" si="12"/>
        <v>0</v>
      </c>
      <c r="O11" s="1"/>
      <c r="P11" s="1">
        <f t="shared" si="13"/>
        <v>0</v>
      </c>
      <c r="Q11" s="1">
        <f t="shared" si="14"/>
        <v>0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H11" s="159">
        <f t="shared" si="4"/>
        <v>0</v>
      </c>
      <c r="EJ11" s="39">
        <f t="shared" si="5"/>
        <v>0</v>
      </c>
      <c r="EK11" s="39">
        <f t="shared" si="6"/>
        <v>0</v>
      </c>
      <c r="EL11" s="39">
        <f t="shared" si="7"/>
        <v>0</v>
      </c>
      <c r="EM11" s="39">
        <f t="shared" si="8"/>
        <v>0</v>
      </c>
      <c r="EN11" s="39">
        <f t="shared" si="9"/>
        <v>0</v>
      </c>
      <c r="EO11" s="39">
        <f t="shared" si="10"/>
        <v>0</v>
      </c>
    </row>
    <row r="12" spans="1:145" ht="14.25" customHeight="1" x14ac:dyDescent="0.3">
      <c r="B12" s="3">
        <f t="shared" si="15"/>
        <v>5.2083333333333502E-2</v>
      </c>
      <c r="D12" s="1">
        <f>'User Interface'!$E$14*1000*'Optimization Results'!D12</f>
        <v>0</v>
      </c>
      <c r="E12" s="1">
        <f>'User Interface'!$E$20*1000*'Optimization Results'!E12</f>
        <v>0</v>
      </c>
      <c r="F12" s="1">
        <f>'User Interface'!$E$20*1000*'Optimization Results'!F12</f>
        <v>0</v>
      </c>
      <c r="G12" s="1">
        <f>'User Interface'!$E$29*1000*'Optimization Results'!G12</f>
        <v>0</v>
      </c>
      <c r="H12" s="1">
        <f>'User Interface'!$E$35*1000*'Optimization Results'!H12</f>
        <v>0</v>
      </c>
      <c r="I12" s="1">
        <f>'User Interface'!$E$39*1000*'Optimization Results'!I12</f>
        <v>0</v>
      </c>
      <c r="J12">
        <v>0</v>
      </c>
      <c r="K12" s="1"/>
      <c r="L12" s="1">
        <f t="shared" si="11"/>
        <v>0</v>
      </c>
      <c r="M12" s="1"/>
      <c r="N12" s="105">
        <f t="shared" si="12"/>
        <v>0</v>
      </c>
      <c r="O12" s="1"/>
      <c r="P12" s="1">
        <f t="shared" si="13"/>
        <v>0</v>
      </c>
      <c r="Q12" s="1">
        <f t="shared" si="14"/>
        <v>0</v>
      </c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H12" s="159">
        <f t="shared" si="4"/>
        <v>0</v>
      </c>
      <c r="EJ12" s="39">
        <f t="shared" si="5"/>
        <v>0</v>
      </c>
      <c r="EK12" s="39">
        <f t="shared" si="6"/>
        <v>0</v>
      </c>
      <c r="EL12" s="39">
        <f t="shared" si="7"/>
        <v>0</v>
      </c>
      <c r="EM12" s="39">
        <f t="shared" si="8"/>
        <v>0</v>
      </c>
      <c r="EN12" s="39">
        <f t="shared" si="9"/>
        <v>0</v>
      </c>
      <c r="EO12" s="39">
        <f t="shared" si="10"/>
        <v>0</v>
      </c>
    </row>
    <row r="13" spans="1:145" ht="14.25" customHeight="1" x14ac:dyDescent="0.3">
      <c r="B13" s="3">
        <f t="shared" si="15"/>
        <v>6.2500000000000208E-2</v>
      </c>
      <c r="D13" s="1">
        <f>'User Interface'!$E$14*1000*'Optimization Results'!D13</f>
        <v>0</v>
      </c>
      <c r="E13" s="1">
        <f>'User Interface'!$E$20*1000*'Optimization Results'!E13</f>
        <v>0</v>
      </c>
      <c r="F13" s="1">
        <f>'User Interface'!$E$20*1000*'Optimization Results'!F13</f>
        <v>0</v>
      </c>
      <c r="G13" s="1">
        <f>'User Interface'!$E$29*1000*'Optimization Results'!G13</f>
        <v>0</v>
      </c>
      <c r="H13" s="1">
        <f>'User Interface'!$E$35*1000*'Optimization Results'!H13</f>
        <v>0</v>
      </c>
      <c r="I13" s="1">
        <f>'User Interface'!$E$39*1000*'Optimization Results'!I13</f>
        <v>0</v>
      </c>
      <c r="J13">
        <v>0</v>
      </c>
      <c r="K13" s="1"/>
      <c r="L13" s="1">
        <f t="shared" si="11"/>
        <v>0</v>
      </c>
      <c r="M13" s="1"/>
      <c r="N13" s="105">
        <f t="shared" si="12"/>
        <v>0</v>
      </c>
      <c r="O13" s="1"/>
      <c r="P13" s="1">
        <f t="shared" si="13"/>
        <v>0</v>
      </c>
      <c r="Q13" s="1">
        <f t="shared" si="14"/>
        <v>0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H13" s="159">
        <f t="shared" si="4"/>
        <v>0</v>
      </c>
      <c r="EJ13" s="39">
        <f t="shared" si="5"/>
        <v>0</v>
      </c>
      <c r="EK13" s="39">
        <f t="shared" si="6"/>
        <v>0</v>
      </c>
      <c r="EL13" s="39">
        <f t="shared" si="7"/>
        <v>0</v>
      </c>
      <c r="EM13" s="39">
        <f t="shared" si="8"/>
        <v>0</v>
      </c>
      <c r="EN13" s="39">
        <f t="shared" si="9"/>
        <v>0</v>
      </c>
      <c r="EO13" s="39">
        <f t="shared" si="10"/>
        <v>0</v>
      </c>
    </row>
    <row r="14" spans="1:145" ht="14.25" customHeight="1" x14ac:dyDescent="0.3">
      <c r="B14" s="3">
        <f t="shared" si="15"/>
        <v>7.2916666666666907E-2</v>
      </c>
      <c r="D14" s="1">
        <f>'User Interface'!$E$14*1000*'Optimization Results'!D14</f>
        <v>0</v>
      </c>
      <c r="E14" s="1">
        <f>'User Interface'!$E$20*1000*'Optimization Results'!E14</f>
        <v>0</v>
      </c>
      <c r="F14" s="1">
        <f>'User Interface'!$E$20*1000*'Optimization Results'!F14</f>
        <v>0</v>
      </c>
      <c r="G14" s="1">
        <f>'User Interface'!$E$29*1000*'Optimization Results'!G14</f>
        <v>0</v>
      </c>
      <c r="H14" s="1">
        <f>'User Interface'!$E$35*1000*'Optimization Results'!H14</f>
        <v>0</v>
      </c>
      <c r="I14" s="1">
        <f>'User Interface'!$E$39*1000*'Optimization Results'!I14</f>
        <v>0</v>
      </c>
      <c r="J14">
        <v>0</v>
      </c>
      <c r="K14" s="1"/>
      <c r="L14" s="1">
        <f t="shared" si="11"/>
        <v>0</v>
      </c>
      <c r="M14" s="1"/>
      <c r="N14" s="105">
        <f t="shared" si="12"/>
        <v>0</v>
      </c>
      <c r="O14" s="1"/>
      <c r="P14" s="1">
        <f t="shared" si="13"/>
        <v>0</v>
      </c>
      <c r="Q14" s="1">
        <f t="shared" si="14"/>
        <v>0</v>
      </c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H14" s="159">
        <f t="shared" si="4"/>
        <v>0</v>
      </c>
      <c r="EJ14" s="39">
        <f t="shared" si="5"/>
        <v>0</v>
      </c>
      <c r="EK14" s="39">
        <f t="shared" si="6"/>
        <v>0</v>
      </c>
      <c r="EL14" s="39">
        <f t="shared" si="7"/>
        <v>0</v>
      </c>
      <c r="EM14" s="39">
        <f t="shared" si="8"/>
        <v>0</v>
      </c>
      <c r="EN14" s="39">
        <f t="shared" si="9"/>
        <v>0</v>
      </c>
      <c r="EO14" s="39">
        <f t="shared" si="10"/>
        <v>0</v>
      </c>
    </row>
    <row r="15" spans="1:145" ht="14.25" customHeight="1" x14ac:dyDescent="0.3">
      <c r="B15" s="3">
        <f t="shared" si="15"/>
        <v>8.3333333333333606E-2</v>
      </c>
      <c r="D15" s="1">
        <f>'User Interface'!$E$14*1000*'Optimization Results'!D15</f>
        <v>0</v>
      </c>
      <c r="E15" s="1">
        <f>'User Interface'!$E$20*1000*'Optimization Results'!E15</f>
        <v>0</v>
      </c>
      <c r="F15" s="1">
        <f>'User Interface'!$E$20*1000*'Optimization Results'!F15</f>
        <v>0</v>
      </c>
      <c r="G15" s="1">
        <f>'User Interface'!$E$29*1000*'Optimization Results'!G15</f>
        <v>0</v>
      </c>
      <c r="H15" s="1">
        <f>'User Interface'!$E$35*1000*'Optimization Results'!H15</f>
        <v>0</v>
      </c>
      <c r="I15" s="1">
        <f>'User Interface'!$E$39*1000*'Optimization Results'!I15</f>
        <v>0</v>
      </c>
      <c r="J15">
        <v>0</v>
      </c>
      <c r="K15" s="1"/>
      <c r="L15" s="1">
        <f t="shared" si="11"/>
        <v>0</v>
      </c>
      <c r="M15" s="1"/>
      <c r="N15" s="105">
        <f t="shared" si="12"/>
        <v>0</v>
      </c>
      <c r="O15" s="1"/>
      <c r="P15" s="1">
        <f t="shared" si="13"/>
        <v>0</v>
      </c>
      <c r="Q15" s="1">
        <f t="shared" si="14"/>
        <v>0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H15" s="159">
        <f t="shared" si="4"/>
        <v>0</v>
      </c>
      <c r="EJ15" s="39">
        <f t="shared" si="5"/>
        <v>0</v>
      </c>
      <c r="EK15" s="39">
        <f t="shared" si="6"/>
        <v>0</v>
      </c>
      <c r="EL15" s="39">
        <f t="shared" si="7"/>
        <v>0</v>
      </c>
      <c r="EM15" s="39">
        <f t="shared" si="8"/>
        <v>0</v>
      </c>
      <c r="EN15" s="39">
        <f t="shared" si="9"/>
        <v>0</v>
      </c>
      <c r="EO15" s="39">
        <f t="shared" si="10"/>
        <v>0</v>
      </c>
    </row>
    <row r="16" spans="1:145" ht="14.25" customHeight="1" x14ac:dyDescent="0.3">
      <c r="B16" s="3">
        <f t="shared" si="15"/>
        <v>9.3750000000000305E-2</v>
      </c>
      <c r="D16" s="1">
        <f>'User Interface'!$E$14*1000*'Optimization Results'!D16</f>
        <v>0</v>
      </c>
      <c r="E16" s="1">
        <f>'User Interface'!$E$20*1000*'Optimization Results'!E16</f>
        <v>0</v>
      </c>
      <c r="F16" s="1">
        <f>'User Interface'!$E$20*1000*'Optimization Results'!F16</f>
        <v>0</v>
      </c>
      <c r="G16" s="1">
        <f>'User Interface'!$E$29*1000*'Optimization Results'!G16</f>
        <v>0</v>
      </c>
      <c r="H16" s="1">
        <f>'User Interface'!$E$35*1000*'Optimization Results'!H16</f>
        <v>0</v>
      </c>
      <c r="I16" s="1">
        <f>'User Interface'!$E$39*1000*'Optimization Results'!I16</f>
        <v>0</v>
      </c>
      <c r="J16">
        <v>0</v>
      </c>
      <c r="K16" s="1"/>
      <c r="L16" s="1">
        <f t="shared" si="11"/>
        <v>0</v>
      </c>
      <c r="M16" s="1"/>
      <c r="N16" s="105">
        <f t="shared" si="12"/>
        <v>0</v>
      </c>
      <c r="O16" s="1"/>
      <c r="P16" s="1">
        <f t="shared" si="13"/>
        <v>0</v>
      </c>
      <c r="Q16" s="1">
        <f t="shared" si="14"/>
        <v>0</v>
      </c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H16" s="159">
        <f t="shared" si="4"/>
        <v>0</v>
      </c>
      <c r="EJ16" s="39">
        <f t="shared" si="5"/>
        <v>0</v>
      </c>
      <c r="EK16" s="39">
        <f t="shared" si="6"/>
        <v>0</v>
      </c>
      <c r="EL16" s="39">
        <f t="shared" si="7"/>
        <v>0</v>
      </c>
      <c r="EM16" s="39">
        <f t="shared" si="8"/>
        <v>0</v>
      </c>
      <c r="EN16" s="39">
        <f t="shared" si="9"/>
        <v>0</v>
      </c>
      <c r="EO16" s="39">
        <f t="shared" si="10"/>
        <v>0</v>
      </c>
    </row>
    <row r="17" spans="2:145" ht="14.25" customHeight="1" x14ac:dyDescent="0.3">
      <c r="B17" s="3">
        <f t="shared" si="15"/>
        <v>0.104166666666667</v>
      </c>
      <c r="D17" s="1">
        <f>'User Interface'!$E$14*1000*'Optimization Results'!D17</f>
        <v>0</v>
      </c>
      <c r="E17" s="1">
        <f>'User Interface'!$E$20*1000*'Optimization Results'!E17</f>
        <v>0</v>
      </c>
      <c r="F17" s="1">
        <f>'User Interface'!$E$20*1000*'Optimization Results'!F17</f>
        <v>0</v>
      </c>
      <c r="G17" s="1">
        <f>'User Interface'!$E$29*1000*'Optimization Results'!G17</f>
        <v>0</v>
      </c>
      <c r="H17" s="1">
        <f>'User Interface'!$E$35*1000*'Optimization Results'!H17</f>
        <v>0</v>
      </c>
      <c r="I17" s="1">
        <f>'User Interface'!$E$39*1000*'Optimization Results'!I17</f>
        <v>0</v>
      </c>
      <c r="J17">
        <v>0</v>
      </c>
      <c r="K17" s="1"/>
      <c r="L17" s="1">
        <f t="shared" si="11"/>
        <v>0</v>
      </c>
      <c r="M17" s="1"/>
      <c r="N17" s="105">
        <f t="shared" si="12"/>
        <v>0</v>
      </c>
      <c r="O17" s="1"/>
      <c r="P17" s="1">
        <f t="shared" si="13"/>
        <v>0</v>
      </c>
      <c r="Q17" s="1">
        <f t="shared" si="14"/>
        <v>0</v>
      </c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H17" s="159">
        <f t="shared" si="4"/>
        <v>0</v>
      </c>
      <c r="EJ17" s="39">
        <f t="shared" si="5"/>
        <v>0</v>
      </c>
      <c r="EK17" s="39">
        <f t="shared" si="6"/>
        <v>0</v>
      </c>
      <c r="EL17" s="39">
        <f t="shared" si="7"/>
        <v>0</v>
      </c>
      <c r="EM17" s="39">
        <f t="shared" si="8"/>
        <v>0</v>
      </c>
      <c r="EN17" s="39">
        <f t="shared" si="9"/>
        <v>0</v>
      </c>
      <c r="EO17" s="39">
        <f t="shared" si="10"/>
        <v>0</v>
      </c>
    </row>
    <row r="18" spans="2:145" ht="14.25" customHeight="1" x14ac:dyDescent="0.3">
      <c r="B18" s="3">
        <f t="shared" si="15"/>
        <v>0.1145833333333337</v>
      </c>
      <c r="D18" s="1">
        <f>'User Interface'!$E$14*1000*'Optimization Results'!D18</f>
        <v>0</v>
      </c>
      <c r="E18" s="1">
        <f>'User Interface'!$E$20*1000*'Optimization Results'!E18</f>
        <v>0</v>
      </c>
      <c r="F18" s="1">
        <f>'User Interface'!$E$20*1000*'Optimization Results'!F18</f>
        <v>0</v>
      </c>
      <c r="G18" s="1">
        <f>'User Interface'!$E$29*1000*'Optimization Results'!G18</f>
        <v>0</v>
      </c>
      <c r="H18" s="1">
        <f>'User Interface'!$E$35*1000*'Optimization Results'!H18</f>
        <v>0</v>
      </c>
      <c r="I18" s="1">
        <f>'User Interface'!$E$39*1000*'Optimization Results'!I18</f>
        <v>0</v>
      </c>
      <c r="J18">
        <v>0</v>
      </c>
      <c r="K18" s="1"/>
      <c r="L18" s="1">
        <f t="shared" si="11"/>
        <v>0</v>
      </c>
      <c r="M18" s="1"/>
      <c r="N18" s="105">
        <f t="shared" si="12"/>
        <v>0</v>
      </c>
      <c r="O18" s="1"/>
      <c r="P18" s="1">
        <f t="shared" si="13"/>
        <v>0</v>
      </c>
      <c r="Q18" s="1">
        <f t="shared" si="14"/>
        <v>0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H18" s="159">
        <f t="shared" si="4"/>
        <v>0</v>
      </c>
      <c r="EJ18" s="39">
        <f t="shared" si="5"/>
        <v>0</v>
      </c>
      <c r="EK18" s="39">
        <f t="shared" si="6"/>
        <v>0</v>
      </c>
      <c r="EL18" s="39">
        <f t="shared" si="7"/>
        <v>0</v>
      </c>
      <c r="EM18" s="39">
        <f t="shared" si="8"/>
        <v>0</v>
      </c>
      <c r="EN18" s="39">
        <f t="shared" si="9"/>
        <v>0</v>
      </c>
      <c r="EO18" s="39">
        <f t="shared" si="10"/>
        <v>0</v>
      </c>
    </row>
    <row r="19" spans="2:145" ht="14.25" customHeight="1" x14ac:dyDescent="0.3">
      <c r="B19" s="3">
        <f t="shared" si="15"/>
        <v>0.12500000000000042</v>
      </c>
      <c r="D19" s="1">
        <f>'User Interface'!$E$14*1000*'Optimization Results'!D19</f>
        <v>0</v>
      </c>
      <c r="E19" s="1">
        <f>'User Interface'!$E$20*1000*'Optimization Results'!E19</f>
        <v>0</v>
      </c>
      <c r="F19" s="1">
        <f>'User Interface'!$E$20*1000*'Optimization Results'!F19</f>
        <v>0</v>
      </c>
      <c r="G19" s="1">
        <f>'User Interface'!$E$29*1000*'Optimization Results'!G19</f>
        <v>0</v>
      </c>
      <c r="H19" s="1">
        <f>'User Interface'!$E$35*1000*'Optimization Results'!H19</f>
        <v>0</v>
      </c>
      <c r="I19" s="1">
        <f>'User Interface'!$E$39*1000*'Optimization Results'!I19</f>
        <v>0</v>
      </c>
      <c r="J19">
        <v>0</v>
      </c>
      <c r="K19" s="1"/>
      <c r="L19" s="1">
        <f t="shared" si="11"/>
        <v>0</v>
      </c>
      <c r="M19" s="1"/>
      <c r="N19" s="105">
        <f t="shared" si="12"/>
        <v>0</v>
      </c>
      <c r="O19" s="1"/>
      <c r="P19" s="1">
        <f t="shared" si="13"/>
        <v>0</v>
      </c>
      <c r="Q19" s="1">
        <f t="shared" si="14"/>
        <v>0</v>
      </c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H19" s="159">
        <f t="shared" si="4"/>
        <v>0</v>
      </c>
      <c r="EJ19" s="39">
        <f t="shared" si="5"/>
        <v>0</v>
      </c>
      <c r="EK19" s="39">
        <f t="shared" si="6"/>
        <v>0</v>
      </c>
      <c r="EL19" s="39">
        <f t="shared" si="7"/>
        <v>0</v>
      </c>
      <c r="EM19" s="39">
        <f t="shared" si="8"/>
        <v>0</v>
      </c>
      <c r="EN19" s="39">
        <f t="shared" si="9"/>
        <v>0</v>
      </c>
      <c r="EO19" s="39">
        <f t="shared" si="10"/>
        <v>0</v>
      </c>
    </row>
    <row r="20" spans="2:145" ht="14.25" customHeight="1" x14ac:dyDescent="0.3">
      <c r="B20" s="3">
        <f t="shared" si="15"/>
        <v>0.13541666666666713</v>
      </c>
      <c r="D20" s="1">
        <f>'User Interface'!$E$14*1000*'Optimization Results'!D20</f>
        <v>0</v>
      </c>
      <c r="E20" s="1">
        <f>'User Interface'!$E$20*1000*'Optimization Results'!E20</f>
        <v>0</v>
      </c>
      <c r="F20" s="1">
        <f>'User Interface'!$E$20*1000*'Optimization Results'!F20</f>
        <v>0</v>
      </c>
      <c r="G20" s="1">
        <f>'User Interface'!$E$29*1000*'Optimization Results'!G20</f>
        <v>0</v>
      </c>
      <c r="H20" s="1">
        <f>'User Interface'!$E$35*1000*'Optimization Results'!H20</f>
        <v>0</v>
      </c>
      <c r="I20" s="1">
        <f>'User Interface'!$E$39*1000*'Optimization Results'!I20</f>
        <v>0</v>
      </c>
      <c r="J20">
        <v>0</v>
      </c>
      <c r="K20" s="1"/>
      <c r="L20" s="1">
        <f t="shared" si="11"/>
        <v>0</v>
      </c>
      <c r="M20" s="1"/>
      <c r="N20" s="105">
        <f t="shared" si="12"/>
        <v>0</v>
      </c>
      <c r="O20" s="1"/>
      <c r="P20" s="1">
        <f t="shared" si="13"/>
        <v>0</v>
      </c>
      <c r="Q20" s="1">
        <f t="shared" si="14"/>
        <v>0</v>
      </c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H20" s="159">
        <f t="shared" si="4"/>
        <v>0</v>
      </c>
      <c r="EJ20" s="39">
        <f t="shared" si="5"/>
        <v>0</v>
      </c>
      <c r="EK20" s="39">
        <f t="shared" si="6"/>
        <v>0</v>
      </c>
      <c r="EL20" s="39">
        <f t="shared" si="7"/>
        <v>0</v>
      </c>
      <c r="EM20" s="39">
        <f t="shared" si="8"/>
        <v>0</v>
      </c>
      <c r="EN20" s="39">
        <f t="shared" si="9"/>
        <v>0</v>
      </c>
      <c r="EO20" s="39">
        <f t="shared" si="10"/>
        <v>0</v>
      </c>
    </row>
    <row r="21" spans="2:145" ht="14.25" customHeight="1" x14ac:dyDescent="0.3">
      <c r="B21" s="3">
        <f t="shared" si="15"/>
        <v>0.14583333333333384</v>
      </c>
      <c r="D21" s="1">
        <f>'User Interface'!$E$14*1000*'Optimization Results'!D21</f>
        <v>0</v>
      </c>
      <c r="E21" s="1">
        <f>'User Interface'!$E$20*1000*'Optimization Results'!E21</f>
        <v>0</v>
      </c>
      <c r="F21" s="1">
        <f>'User Interface'!$E$20*1000*'Optimization Results'!F21</f>
        <v>0</v>
      </c>
      <c r="G21" s="1">
        <f>'User Interface'!$E$29*1000*'Optimization Results'!G21</f>
        <v>0</v>
      </c>
      <c r="H21" s="1">
        <f>'User Interface'!$E$35*1000*'Optimization Results'!H21</f>
        <v>0</v>
      </c>
      <c r="I21" s="1">
        <f>'User Interface'!$E$39*1000*'Optimization Results'!I21</f>
        <v>0</v>
      </c>
      <c r="J21">
        <v>0</v>
      </c>
      <c r="K21" s="1"/>
      <c r="L21" s="1">
        <f t="shared" si="11"/>
        <v>0</v>
      </c>
      <c r="M21" s="1"/>
      <c r="N21" s="105">
        <f t="shared" si="12"/>
        <v>0</v>
      </c>
      <c r="O21" s="1"/>
      <c r="P21" s="1">
        <f t="shared" si="13"/>
        <v>0</v>
      </c>
      <c r="Q21" s="1">
        <f t="shared" si="14"/>
        <v>0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H21" s="159">
        <f t="shared" si="4"/>
        <v>0</v>
      </c>
      <c r="EJ21" s="39">
        <f t="shared" si="5"/>
        <v>0</v>
      </c>
      <c r="EK21" s="39">
        <f t="shared" si="6"/>
        <v>0</v>
      </c>
      <c r="EL21" s="39">
        <f t="shared" si="7"/>
        <v>0</v>
      </c>
      <c r="EM21" s="39">
        <f t="shared" si="8"/>
        <v>0</v>
      </c>
      <c r="EN21" s="39">
        <f t="shared" si="9"/>
        <v>0</v>
      </c>
      <c r="EO21" s="39">
        <f t="shared" si="10"/>
        <v>0</v>
      </c>
    </row>
    <row r="22" spans="2:145" ht="14.25" customHeight="1" x14ac:dyDescent="0.3">
      <c r="B22" s="3">
        <f t="shared" si="15"/>
        <v>0.15625000000000056</v>
      </c>
      <c r="D22" s="1">
        <f>'User Interface'!$E$14*1000*'Optimization Results'!D22</f>
        <v>0</v>
      </c>
      <c r="E22" s="1">
        <f>'User Interface'!$E$20*1000*'Optimization Results'!E22</f>
        <v>0</v>
      </c>
      <c r="F22" s="1">
        <f>'User Interface'!$E$20*1000*'Optimization Results'!F22</f>
        <v>0</v>
      </c>
      <c r="G22" s="1">
        <f>'User Interface'!$E$29*1000*'Optimization Results'!G22</f>
        <v>0</v>
      </c>
      <c r="H22" s="1">
        <f>'User Interface'!$E$35*1000*'Optimization Results'!H22</f>
        <v>0</v>
      </c>
      <c r="I22" s="1">
        <f>'User Interface'!$E$39*1000*'Optimization Results'!I22</f>
        <v>0</v>
      </c>
      <c r="J22">
        <v>0</v>
      </c>
      <c r="K22" s="1"/>
      <c r="L22" s="1">
        <f t="shared" si="11"/>
        <v>0</v>
      </c>
      <c r="M22" s="1"/>
      <c r="N22" s="105">
        <f t="shared" si="12"/>
        <v>0</v>
      </c>
      <c r="O22" s="1"/>
      <c r="P22" s="1">
        <f t="shared" si="13"/>
        <v>0</v>
      </c>
      <c r="Q22" s="1">
        <f t="shared" si="14"/>
        <v>0</v>
      </c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H22" s="159">
        <f t="shared" si="4"/>
        <v>0</v>
      </c>
      <c r="EJ22" s="39">
        <f t="shared" si="5"/>
        <v>0</v>
      </c>
      <c r="EK22" s="39">
        <f t="shared" si="6"/>
        <v>0</v>
      </c>
      <c r="EL22" s="39">
        <f t="shared" si="7"/>
        <v>0</v>
      </c>
      <c r="EM22" s="39">
        <f t="shared" si="8"/>
        <v>0</v>
      </c>
      <c r="EN22" s="39">
        <f t="shared" si="9"/>
        <v>0</v>
      </c>
      <c r="EO22" s="39">
        <f t="shared" si="10"/>
        <v>0</v>
      </c>
    </row>
    <row r="23" spans="2:145" ht="14.25" customHeight="1" x14ac:dyDescent="0.3">
      <c r="B23" s="3">
        <f t="shared" si="15"/>
        <v>0.16666666666666727</v>
      </c>
      <c r="D23" s="1">
        <f>'User Interface'!$E$14*1000*'Optimization Results'!D23</f>
        <v>0</v>
      </c>
      <c r="E23" s="1">
        <f>'User Interface'!$E$20*1000*'Optimization Results'!E23</f>
        <v>0</v>
      </c>
      <c r="F23" s="1">
        <f>'User Interface'!$E$20*1000*'Optimization Results'!F23</f>
        <v>0</v>
      </c>
      <c r="G23" s="1">
        <f>'User Interface'!$E$29*1000*'Optimization Results'!G23</f>
        <v>0</v>
      </c>
      <c r="H23" s="1">
        <f>'User Interface'!$E$35*1000*'Optimization Results'!H23</f>
        <v>0</v>
      </c>
      <c r="I23" s="1">
        <f>'User Interface'!$E$39*1000*'Optimization Results'!I23</f>
        <v>0</v>
      </c>
      <c r="J23">
        <v>0</v>
      </c>
      <c r="K23" s="1"/>
      <c r="L23" s="1">
        <f t="shared" si="11"/>
        <v>0</v>
      </c>
      <c r="M23" s="1"/>
      <c r="N23" s="105">
        <f t="shared" si="12"/>
        <v>0</v>
      </c>
      <c r="O23" s="1"/>
      <c r="P23" s="1">
        <f t="shared" si="13"/>
        <v>0</v>
      </c>
      <c r="Q23" s="1">
        <f t="shared" si="14"/>
        <v>0</v>
      </c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H23" s="159">
        <f t="shared" si="4"/>
        <v>0</v>
      </c>
      <c r="EJ23" s="39">
        <f t="shared" si="5"/>
        <v>0</v>
      </c>
      <c r="EK23" s="39">
        <f t="shared" si="6"/>
        <v>0</v>
      </c>
      <c r="EL23" s="39">
        <f t="shared" si="7"/>
        <v>0</v>
      </c>
      <c r="EM23" s="39">
        <f t="shared" si="8"/>
        <v>0</v>
      </c>
      <c r="EN23" s="39">
        <f t="shared" si="9"/>
        <v>0</v>
      </c>
      <c r="EO23" s="39">
        <f t="shared" si="10"/>
        <v>0</v>
      </c>
    </row>
    <row r="24" spans="2:145" ht="14.25" customHeight="1" x14ac:dyDescent="0.3">
      <c r="B24" s="3">
        <f t="shared" si="15"/>
        <v>0.17708333333333398</v>
      </c>
      <c r="D24" s="1">
        <f>'User Interface'!$E$14*1000*'Optimization Results'!D24</f>
        <v>0</v>
      </c>
      <c r="E24" s="1">
        <f>'User Interface'!$E$20*1000*'Optimization Results'!E24</f>
        <v>0</v>
      </c>
      <c r="F24" s="1">
        <f>'User Interface'!$E$20*1000*'Optimization Results'!F24</f>
        <v>0</v>
      </c>
      <c r="G24" s="1">
        <f>'User Interface'!$E$29*1000*'Optimization Results'!G24</f>
        <v>0</v>
      </c>
      <c r="H24" s="1">
        <f>'User Interface'!$E$35*1000*'Optimization Results'!H24</f>
        <v>0</v>
      </c>
      <c r="I24" s="1">
        <f>'User Interface'!$E$39*1000*'Optimization Results'!I24</f>
        <v>0</v>
      </c>
      <c r="J24">
        <v>0</v>
      </c>
      <c r="K24" s="1"/>
      <c r="L24" s="1">
        <f t="shared" si="11"/>
        <v>0</v>
      </c>
      <c r="M24" s="1"/>
      <c r="N24" s="105">
        <f t="shared" si="12"/>
        <v>0</v>
      </c>
      <c r="O24" s="1"/>
      <c r="P24" s="1">
        <f t="shared" si="13"/>
        <v>0</v>
      </c>
      <c r="Q24" s="1">
        <f t="shared" si="14"/>
        <v>0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H24" s="159">
        <f t="shared" si="4"/>
        <v>0</v>
      </c>
      <c r="EJ24" s="39">
        <f t="shared" si="5"/>
        <v>0</v>
      </c>
      <c r="EK24" s="39">
        <f t="shared" si="6"/>
        <v>0</v>
      </c>
      <c r="EL24" s="39">
        <f t="shared" si="7"/>
        <v>0</v>
      </c>
      <c r="EM24" s="39">
        <f t="shared" si="8"/>
        <v>0</v>
      </c>
      <c r="EN24" s="39">
        <f t="shared" si="9"/>
        <v>0</v>
      </c>
      <c r="EO24" s="39">
        <f t="shared" si="10"/>
        <v>0</v>
      </c>
    </row>
    <row r="25" spans="2:145" ht="14.25" customHeight="1" x14ac:dyDescent="0.3">
      <c r="B25" s="3">
        <f t="shared" si="15"/>
        <v>0.18750000000000069</v>
      </c>
      <c r="D25" s="1">
        <f>'User Interface'!$E$14*1000*'Optimization Results'!D25</f>
        <v>0</v>
      </c>
      <c r="E25" s="1">
        <f>'User Interface'!$E$20*1000*'Optimization Results'!E25</f>
        <v>0</v>
      </c>
      <c r="F25" s="1">
        <f>'User Interface'!$E$20*1000*'Optimization Results'!F25</f>
        <v>0</v>
      </c>
      <c r="G25" s="1">
        <f>'User Interface'!$E$29*1000*'Optimization Results'!G25</f>
        <v>0</v>
      </c>
      <c r="H25" s="1">
        <f>'User Interface'!$E$35*1000*'Optimization Results'!H25</f>
        <v>0</v>
      </c>
      <c r="I25" s="1">
        <f>'User Interface'!$E$39*1000*'Optimization Results'!I25</f>
        <v>0</v>
      </c>
      <c r="J25">
        <v>0</v>
      </c>
      <c r="K25" s="1"/>
      <c r="L25" s="1">
        <f t="shared" si="11"/>
        <v>0</v>
      </c>
      <c r="M25" s="1"/>
      <c r="N25" s="105">
        <f t="shared" si="12"/>
        <v>0</v>
      </c>
      <c r="O25" s="1"/>
      <c r="P25" s="1">
        <f t="shared" si="13"/>
        <v>0</v>
      </c>
      <c r="Q25" s="1">
        <f t="shared" si="14"/>
        <v>0</v>
      </c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H25" s="159">
        <f t="shared" si="4"/>
        <v>0</v>
      </c>
      <c r="EJ25" s="39">
        <f t="shared" si="5"/>
        <v>0</v>
      </c>
      <c r="EK25" s="39">
        <f t="shared" si="6"/>
        <v>0</v>
      </c>
      <c r="EL25" s="39">
        <f t="shared" si="7"/>
        <v>0</v>
      </c>
      <c r="EM25" s="39">
        <f t="shared" si="8"/>
        <v>0</v>
      </c>
      <c r="EN25" s="39">
        <f t="shared" si="9"/>
        <v>0</v>
      </c>
      <c r="EO25" s="39">
        <f t="shared" si="10"/>
        <v>0</v>
      </c>
    </row>
    <row r="26" spans="2:145" ht="14.25" customHeight="1" x14ac:dyDescent="0.3">
      <c r="B26" s="3">
        <f t="shared" si="15"/>
        <v>0.19791666666666741</v>
      </c>
      <c r="D26" s="1">
        <f>'User Interface'!$E$14*1000*'Optimization Results'!D26</f>
        <v>0</v>
      </c>
      <c r="E26" s="1">
        <f>'User Interface'!$E$20*1000*'Optimization Results'!E26</f>
        <v>0</v>
      </c>
      <c r="F26" s="1">
        <f>'User Interface'!$E$20*1000*'Optimization Results'!F26</f>
        <v>0</v>
      </c>
      <c r="G26" s="1">
        <f>'User Interface'!$E$29*1000*'Optimization Results'!G26</f>
        <v>0</v>
      </c>
      <c r="H26" s="1">
        <f>'User Interface'!$E$35*1000*'Optimization Results'!H26</f>
        <v>0</v>
      </c>
      <c r="I26" s="1">
        <f>'User Interface'!$E$39*1000*'Optimization Results'!I26</f>
        <v>0</v>
      </c>
      <c r="J26">
        <v>0</v>
      </c>
      <c r="K26" s="1"/>
      <c r="L26" s="1">
        <f t="shared" si="11"/>
        <v>0</v>
      </c>
      <c r="M26" s="1"/>
      <c r="N26" s="105">
        <f t="shared" si="12"/>
        <v>0</v>
      </c>
      <c r="O26" s="1"/>
      <c r="P26" s="1">
        <f t="shared" si="13"/>
        <v>0</v>
      </c>
      <c r="Q26" s="1">
        <f t="shared" si="14"/>
        <v>0</v>
      </c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H26" s="159">
        <f t="shared" si="4"/>
        <v>0</v>
      </c>
      <c r="EJ26" s="39">
        <f t="shared" si="5"/>
        <v>0</v>
      </c>
      <c r="EK26" s="39">
        <f t="shared" si="6"/>
        <v>0</v>
      </c>
      <c r="EL26" s="39">
        <f t="shared" si="7"/>
        <v>0</v>
      </c>
      <c r="EM26" s="39">
        <f t="shared" si="8"/>
        <v>0</v>
      </c>
      <c r="EN26" s="39">
        <f t="shared" si="9"/>
        <v>0</v>
      </c>
      <c r="EO26" s="39">
        <f t="shared" si="10"/>
        <v>0</v>
      </c>
    </row>
    <row r="27" spans="2:145" ht="14.25" customHeight="1" x14ac:dyDescent="0.3">
      <c r="B27" s="3">
        <f t="shared" si="15"/>
        <v>0.20833333333333412</v>
      </c>
      <c r="D27" s="1">
        <f>'User Interface'!$E$14*1000*'Optimization Results'!D27</f>
        <v>0</v>
      </c>
      <c r="E27" s="1">
        <f>'User Interface'!$E$20*1000*'Optimization Results'!E27</f>
        <v>0</v>
      </c>
      <c r="F27" s="1">
        <f>'User Interface'!$E$20*1000*'Optimization Results'!F27</f>
        <v>0</v>
      </c>
      <c r="G27" s="1">
        <f>'User Interface'!$E$29*1000*'Optimization Results'!G27</f>
        <v>0</v>
      </c>
      <c r="H27" s="1">
        <f>'User Interface'!$E$35*1000*'Optimization Results'!H27</f>
        <v>0</v>
      </c>
      <c r="I27" s="1">
        <f>'User Interface'!$E$39*1000*'Optimization Results'!I27</f>
        <v>0</v>
      </c>
      <c r="J27">
        <v>0</v>
      </c>
      <c r="K27" s="1"/>
      <c r="L27" s="1">
        <f t="shared" si="11"/>
        <v>0</v>
      </c>
      <c r="M27" s="1"/>
      <c r="N27" s="105">
        <f t="shared" si="12"/>
        <v>0</v>
      </c>
      <c r="O27" s="1"/>
      <c r="P27" s="1">
        <f t="shared" si="13"/>
        <v>0</v>
      </c>
      <c r="Q27" s="1">
        <f t="shared" si="14"/>
        <v>0</v>
      </c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H27" s="159">
        <f t="shared" si="4"/>
        <v>0</v>
      </c>
      <c r="EJ27" s="39">
        <f t="shared" si="5"/>
        <v>0</v>
      </c>
      <c r="EK27" s="39">
        <f t="shared" si="6"/>
        <v>0</v>
      </c>
      <c r="EL27" s="39">
        <f t="shared" si="7"/>
        <v>0</v>
      </c>
      <c r="EM27" s="39">
        <f t="shared" si="8"/>
        <v>0</v>
      </c>
      <c r="EN27" s="39">
        <f t="shared" si="9"/>
        <v>0</v>
      </c>
      <c r="EO27" s="39">
        <f t="shared" si="10"/>
        <v>0</v>
      </c>
    </row>
    <row r="28" spans="2:145" ht="14.25" customHeight="1" x14ac:dyDescent="0.3">
      <c r="B28" s="3">
        <f t="shared" si="15"/>
        <v>0.21875000000000083</v>
      </c>
      <c r="D28" s="1">
        <f>'User Interface'!$E$14*1000*'Optimization Results'!D28</f>
        <v>0</v>
      </c>
      <c r="E28" s="1">
        <f>'User Interface'!$E$20*1000*'Optimization Results'!E28</f>
        <v>0</v>
      </c>
      <c r="F28" s="1">
        <f>'User Interface'!$E$20*1000*'Optimization Results'!F28</f>
        <v>0</v>
      </c>
      <c r="G28" s="1">
        <f>'User Interface'!$E$29*1000*'Optimization Results'!G28</f>
        <v>0</v>
      </c>
      <c r="H28" s="1">
        <f>'User Interface'!$E$35*1000*'Optimization Results'!H28</f>
        <v>0</v>
      </c>
      <c r="I28" s="1">
        <f>'User Interface'!$E$39*1000*'Optimization Results'!I28</f>
        <v>0</v>
      </c>
      <c r="J28">
        <v>0</v>
      </c>
      <c r="K28" s="1"/>
      <c r="L28" s="1">
        <f t="shared" si="11"/>
        <v>0</v>
      </c>
      <c r="M28" s="1"/>
      <c r="N28" s="105">
        <f t="shared" si="12"/>
        <v>0</v>
      </c>
      <c r="O28" s="1"/>
      <c r="P28" s="1">
        <f t="shared" si="13"/>
        <v>0</v>
      </c>
      <c r="Q28" s="1">
        <f t="shared" si="14"/>
        <v>0</v>
      </c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H28" s="159">
        <f t="shared" si="4"/>
        <v>0</v>
      </c>
      <c r="EJ28" s="39">
        <f t="shared" si="5"/>
        <v>0</v>
      </c>
      <c r="EK28" s="39">
        <f t="shared" si="6"/>
        <v>0</v>
      </c>
      <c r="EL28" s="39">
        <f t="shared" si="7"/>
        <v>0</v>
      </c>
      <c r="EM28" s="39">
        <f t="shared" si="8"/>
        <v>0</v>
      </c>
      <c r="EN28" s="39">
        <f t="shared" si="9"/>
        <v>0</v>
      </c>
      <c r="EO28" s="39">
        <f t="shared" si="10"/>
        <v>0</v>
      </c>
    </row>
    <row r="29" spans="2:145" ht="14.25" customHeight="1" x14ac:dyDescent="0.3">
      <c r="B29" s="3">
        <f t="shared" si="15"/>
        <v>0.22916666666666755</v>
      </c>
      <c r="D29" s="1">
        <f>'User Interface'!$E$14*1000*'Optimization Results'!D29</f>
        <v>0</v>
      </c>
      <c r="E29" s="1">
        <f>'User Interface'!$E$20*1000*'Optimization Results'!E29</f>
        <v>0</v>
      </c>
      <c r="F29" s="1">
        <f>'User Interface'!$E$20*1000*'Optimization Results'!F29</f>
        <v>0</v>
      </c>
      <c r="G29" s="1">
        <f>'User Interface'!$E$29*1000*'Optimization Results'!G29</f>
        <v>0</v>
      </c>
      <c r="H29" s="1">
        <f>'User Interface'!$E$35*1000*'Optimization Results'!H29</f>
        <v>0</v>
      </c>
      <c r="I29" s="1">
        <f>'User Interface'!$E$39*1000*'Optimization Results'!I29</f>
        <v>0</v>
      </c>
      <c r="J29">
        <v>0</v>
      </c>
      <c r="K29" s="1"/>
      <c r="L29" s="1">
        <f t="shared" si="11"/>
        <v>0</v>
      </c>
      <c r="M29" s="1"/>
      <c r="N29" s="105">
        <f t="shared" si="12"/>
        <v>0</v>
      </c>
      <c r="O29" s="1"/>
      <c r="P29" s="1">
        <f t="shared" si="13"/>
        <v>0</v>
      </c>
      <c r="Q29" s="1">
        <f t="shared" si="14"/>
        <v>0</v>
      </c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H29" s="159">
        <f t="shared" si="4"/>
        <v>0</v>
      </c>
      <c r="EJ29" s="39">
        <f t="shared" si="5"/>
        <v>0</v>
      </c>
      <c r="EK29" s="39">
        <f t="shared" si="6"/>
        <v>0</v>
      </c>
      <c r="EL29" s="39">
        <f t="shared" si="7"/>
        <v>0</v>
      </c>
      <c r="EM29" s="39">
        <f t="shared" si="8"/>
        <v>0</v>
      </c>
      <c r="EN29" s="39">
        <f t="shared" si="9"/>
        <v>0</v>
      </c>
      <c r="EO29" s="39">
        <f t="shared" si="10"/>
        <v>0</v>
      </c>
    </row>
    <row r="30" spans="2:145" ht="14.25" customHeight="1" x14ac:dyDescent="0.3">
      <c r="B30" s="3">
        <f t="shared" si="15"/>
        <v>0.23958333333333426</v>
      </c>
      <c r="D30" s="1">
        <f>'User Interface'!$E$14*1000*'Optimization Results'!D30</f>
        <v>0</v>
      </c>
      <c r="E30" s="1">
        <f>'User Interface'!$E$20*1000*'Optimization Results'!E30</f>
        <v>0</v>
      </c>
      <c r="F30" s="1">
        <f>'User Interface'!$E$20*1000*'Optimization Results'!F30</f>
        <v>0</v>
      </c>
      <c r="G30" s="1">
        <f>'User Interface'!$E$29*1000*'Optimization Results'!G30</f>
        <v>0</v>
      </c>
      <c r="H30" s="1">
        <f>'User Interface'!$E$35*1000*'Optimization Results'!H30</f>
        <v>0</v>
      </c>
      <c r="I30" s="1">
        <f>'User Interface'!$E$39*1000*'Optimization Results'!I30</f>
        <v>0</v>
      </c>
      <c r="J30">
        <v>0</v>
      </c>
      <c r="K30" s="1"/>
      <c r="L30" s="1">
        <f t="shared" si="11"/>
        <v>0</v>
      </c>
      <c r="M30" s="1"/>
      <c r="N30" s="105">
        <f t="shared" si="12"/>
        <v>0</v>
      </c>
      <c r="O30" s="1"/>
      <c r="P30" s="1">
        <f t="shared" si="13"/>
        <v>0</v>
      </c>
      <c r="Q30" s="1">
        <f t="shared" si="14"/>
        <v>0</v>
      </c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H30" s="159">
        <f t="shared" si="4"/>
        <v>0</v>
      </c>
      <c r="EJ30" s="39">
        <f t="shared" si="5"/>
        <v>0</v>
      </c>
      <c r="EK30" s="39">
        <f t="shared" si="6"/>
        <v>0</v>
      </c>
      <c r="EL30" s="39">
        <f t="shared" si="7"/>
        <v>0</v>
      </c>
      <c r="EM30" s="39">
        <f t="shared" si="8"/>
        <v>0</v>
      </c>
      <c r="EN30" s="39">
        <f t="shared" si="9"/>
        <v>0</v>
      </c>
      <c r="EO30" s="39">
        <f t="shared" si="10"/>
        <v>0</v>
      </c>
    </row>
    <row r="31" spans="2:145" ht="14.25" customHeight="1" x14ac:dyDescent="0.3">
      <c r="B31" s="3">
        <f t="shared" si="15"/>
        <v>0.25000000000000094</v>
      </c>
      <c r="D31" s="1">
        <f>'User Interface'!$E$14*1000*'Optimization Results'!D31</f>
        <v>0</v>
      </c>
      <c r="E31" s="1">
        <f>'User Interface'!$E$20*1000*'Optimization Results'!E31</f>
        <v>0</v>
      </c>
      <c r="F31" s="1">
        <f>'User Interface'!$E$20*1000*'Optimization Results'!F31</f>
        <v>0</v>
      </c>
      <c r="G31" s="1">
        <f>'User Interface'!$E$29*1000*'Optimization Results'!G31</f>
        <v>0</v>
      </c>
      <c r="H31" s="1">
        <f>'User Interface'!$E$35*1000*'Optimization Results'!H31</f>
        <v>0</v>
      </c>
      <c r="I31" s="1">
        <f>'User Interface'!$E$39*1000*'Optimization Results'!I31</f>
        <v>0</v>
      </c>
      <c r="J31">
        <v>0</v>
      </c>
      <c r="K31" s="1"/>
      <c r="L31" s="1">
        <f t="shared" si="11"/>
        <v>0</v>
      </c>
      <c r="M31" s="1"/>
      <c r="N31" s="105">
        <f t="shared" si="12"/>
        <v>0</v>
      </c>
      <c r="O31" s="1"/>
      <c r="P31" s="1">
        <f t="shared" si="13"/>
        <v>0</v>
      </c>
      <c r="Q31" s="1">
        <f t="shared" si="14"/>
        <v>0</v>
      </c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H31" s="159">
        <f t="shared" si="4"/>
        <v>0</v>
      </c>
      <c r="EJ31" s="39">
        <f t="shared" si="5"/>
        <v>0</v>
      </c>
      <c r="EK31" s="39">
        <f t="shared" si="6"/>
        <v>0</v>
      </c>
      <c r="EL31" s="39">
        <f t="shared" si="7"/>
        <v>0</v>
      </c>
      <c r="EM31" s="39">
        <f t="shared" si="8"/>
        <v>0</v>
      </c>
      <c r="EN31" s="39">
        <f t="shared" si="9"/>
        <v>0</v>
      </c>
      <c r="EO31" s="39">
        <f t="shared" si="10"/>
        <v>0</v>
      </c>
    </row>
    <row r="32" spans="2:145" ht="14.25" customHeight="1" x14ac:dyDescent="0.3">
      <c r="B32" s="3">
        <f t="shared" si="15"/>
        <v>0.26041666666666763</v>
      </c>
      <c r="D32" s="1">
        <f>'User Interface'!$E$14*1000*'Optimization Results'!D32</f>
        <v>0</v>
      </c>
      <c r="E32" s="1">
        <f>'User Interface'!$E$20*1000*'Optimization Results'!E32</f>
        <v>0</v>
      </c>
      <c r="F32" s="1">
        <f>'User Interface'!$E$20*1000*'Optimization Results'!F32</f>
        <v>0</v>
      </c>
      <c r="G32" s="1">
        <f>'User Interface'!$E$29*1000*'Optimization Results'!G32</f>
        <v>0</v>
      </c>
      <c r="H32" s="1">
        <f>'User Interface'!$E$35*1000*'Optimization Results'!H32</f>
        <v>0</v>
      </c>
      <c r="I32" s="1">
        <f>'User Interface'!$E$39*1000*'Optimization Results'!I32</f>
        <v>0</v>
      </c>
      <c r="J32">
        <v>0</v>
      </c>
      <c r="K32" s="1"/>
      <c r="L32" s="1">
        <f t="shared" si="11"/>
        <v>0</v>
      </c>
      <c r="M32" s="1"/>
      <c r="N32" s="105">
        <f t="shared" si="12"/>
        <v>0</v>
      </c>
      <c r="O32" s="1"/>
      <c r="P32" s="1">
        <f t="shared" si="13"/>
        <v>0</v>
      </c>
      <c r="Q32" s="1">
        <f t="shared" si="14"/>
        <v>0</v>
      </c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H32" s="159">
        <f t="shared" si="4"/>
        <v>0</v>
      </c>
      <c r="EJ32" s="39">
        <f t="shared" si="5"/>
        <v>0</v>
      </c>
      <c r="EK32" s="39">
        <f t="shared" si="6"/>
        <v>0</v>
      </c>
      <c r="EL32" s="39">
        <f t="shared" si="7"/>
        <v>0</v>
      </c>
      <c r="EM32" s="39">
        <f t="shared" si="8"/>
        <v>0</v>
      </c>
      <c r="EN32" s="39">
        <f t="shared" si="9"/>
        <v>0</v>
      </c>
      <c r="EO32" s="39">
        <f t="shared" si="10"/>
        <v>0</v>
      </c>
    </row>
    <row r="33" spans="2:145" ht="14.25" customHeight="1" x14ac:dyDescent="0.3">
      <c r="B33" s="3">
        <f t="shared" si="15"/>
        <v>0.27083333333333431</v>
      </c>
      <c r="D33" s="1">
        <f>'User Interface'!$E$14*1000*'Optimization Results'!D33</f>
        <v>0</v>
      </c>
      <c r="E33" s="1">
        <f>'User Interface'!$E$20*1000*'Optimization Results'!E33</f>
        <v>0</v>
      </c>
      <c r="F33" s="1">
        <f>'User Interface'!$E$20*1000*'Optimization Results'!F33</f>
        <v>0</v>
      </c>
      <c r="G33" s="1">
        <f>'User Interface'!$E$29*1000*'Optimization Results'!G33</f>
        <v>0</v>
      </c>
      <c r="H33" s="1">
        <f>'User Interface'!$E$35*1000*'Optimization Results'!H33</f>
        <v>0</v>
      </c>
      <c r="I33" s="1">
        <f>'User Interface'!$E$39*1000*'Optimization Results'!I33</f>
        <v>0</v>
      </c>
      <c r="J33">
        <v>0</v>
      </c>
      <c r="K33" s="1"/>
      <c r="L33" s="1">
        <f t="shared" si="11"/>
        <v>0</v>
      </c>
      <c r="M33" s="1"/>
      <c r="N33" s="105">
        <f t="shared" si="12"/>
        <v>0</v>
      </c>
      <c r="O33" s="1"/>
      <c r="P33" s="1">
        <f t="shared" si="13"/>
        <v>0</v>
      </c>
      <c r="Q33" s="1">
        <f t="shared" si="14"/>
        <v>0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H33" s="159">
        <f t="shared" si="4"/>
        <v>0</v>
      </c>
      <c r="EJ33" s="39">
        <f t="shared" si="5"/>
        <v>0</v>
      </c>
      <c r="EK33" s="39">
        <f t="shared" si="6"/>
        <v>0</v>
      </c>
      <c r="EL33" s="39">
        <f t="shared" si="7"/>
        <v>0</v>
      </c>
      <c r="EM33" s="39">
        <f t="shared" si="8"/>
        <v>0</v>
      </c>
      <c r="EN33" s="39">
        <f t="shared" si="9"/>
        <v>0</v>
      </c>
      <c r="EO33" s="39">
        <f t="shared" si="10"/>
        <v>0</v>
      </c>
    </row>
    <row r="34" spans="2:145" ht="14.25" customHeight="1" x14ac:dyDescent="0.3">
      <c r="B34" s="3">
        <f t="shared" si="15"/>
        <v>0.281250000000001</v>
      </c>
      <c r="D34" s="1">
        <f>'User Interface'!$E$14*1000*'Optimization Results'!D34</f>
        <v>0</v>
      </c>
      <c r="E34" s="1">
        <f>'User Interface'!$E$20*1000*'Optimization Results'!E34</f>
        <v>0</v>
      </c>
      <c r="F34" s="1">
        <f>'User Interface'!$E$20*1000*'Optimization Results'!F34</f>
        <v>0</v>
      </c>
      <c r="G34" s="1">
        <f>'User Interface'!$E$29*1000*'Optimization Results'!G34</f>
        <v>0</v>
      </c>
      <c r="H34" s="1">
        <f>'User Interface'!$E$35*1000*'Optimization Results'!H34</f>
        <v>0</v>
      </c>
      <c r="I34" s="1">
        <f>'User Interface'!$E$39*1000*'Optimization Results'!I34</f>
        <v>0</v>
      </c>
      <c r="J34">
        <v>0</v>
      </c>
      <c r="K34" s="1"/>
      <c r="L34" s="1">
        <f t="shared" si="11"/>
        <v>0</v>
      </c>
      <c r="M34" s="1"/>
      <c r="N34" s="105">
        <f t="shared" si="12"/>
        <v>0</v>
      </c>
      <c r="O34" s="1"/>
      <c r="P34" s="1">
        <f t="shared" si="13"/>
        <v>0</v>
      </c>
      <c r="Q34" s="1">
        <f t="shared" si="14"/>
        <v>0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H34" s="159">
        <f t="shared" si="4"/>
        <v>0</v>
      </c>
      <c r="EJ34" s="39">
        <f t="shared" si="5"/>
        <v>0</v>
      </c>
      <c r="EK34" s="39">
        <f t="shared" si="6"/>
        <v>0</v>
      </c>
      <c r="EL34" s="39">
        <f t="shared" si="7"/>
        <v>0</v>
      </c>
      <c r="EM34" s="39">
        <f t="shared" si="8"/>
        <v>0</v>
      </c>
      <c r="EN34" s="39">
        <f t="shared" si="9"/>
        <v>0</v>
      </c>
      <c r="EO34" s="39">
        <f t="shared" si="10"/>
        <v>0</v>
      </c>
    </row>
    <row r="35" spans="2:145" ht="14.25" customHeight="1" x14ac:dyDescent="0.3">
      <c r="B35" s="3">
        <f t="shared" si="15"/>
        <v>0.29166666666666768</v>
      </c>
      <c r="D35" s="1">
        <f>'User Interface'!$E$14*1000*'Optimization Results'!D35</f>
        <v>0</v>
      </c>
      <c r="E35" s="1">
        <f>'User Interface'!$E$20*1000*'Optimization Results'!E35</f>
        <v>0</v>
      </c>
      <c r="F35" s="1">
        <f>'User Interface'!$E$20*1000*'Optimization Results'!F35</f>
        <v>0</v>
      </c>
      <c r="G35" s="1">
        <f>'User Interface'!$E$29*1000*'Optimization Results'!G35</f>
        <v>0</v>
      </c>
      <c r="H35" s="1">
        <f>'User Interface'!$E$35*1000*'Optimization Results'!H35</f>
        <v>0</v>
      </c>
      <c r="I35" s="1">
        <f>'User Interface'!$E$39*1000*'Optimization Results'!I35</f>
        <v>0</v>
      </c>
      <c r="J35">
        <v>0</v>
      </c>
      <c r="K35" s="1"/>
      <c r="L35" s="1">
        <f t="shared" si="11"/>
        <v>0</v>
      </c>
      <c r="M35" s="1"/>
      <c r="N35" s="105">
        <f t="shared" si="12"/>
        <v>0</v>
      </c>
      <c r="O35" s="1"/>
      <c r="P35" s="1">
        <f t="shared" si="13"/>
        <v>0</v>
      </c>
      <c r="Q35" s="1">
        <f t="shared" si="14"/>
        <v>0</v>
      </c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H35" s="159">
        <f t="shared" si="4"/>
        <v>0</v>
      </c>
      <c r="EJ35" s="39">
        <f t="shared" si="5"/>
        <v>0</v>
      </c>
      <c r="EK35" s="39">
        <f t="shared" si="6"/>
        <v>0</v>
      </c>
      <c r="EL35" s="39">
        <f t="shared" si="7"/>
        <v>0</v>
      </c>
      <c r="EM35" s="39">
        <f t="shared" si="8"/>
        <v>0</v>
      </c>
      <c r="EN35" s="39">
        <f t="shared" si="9"/>
        <v>0</v>
      </c>
      <c r="EO35" s="39">
        <f t="shared" si="10"/>
        <v>0</v>
      </c>
    </row>
    <row r="36" spans="2:145" ht="14.25" customHeight="1" x14ac:dyDescent="0.3">
      <c r="B36" s="3">
        <f t="shared" si="15"/>
        <v>0.30208333333333437</v>
      </c>
      <c r="D36" s="1">
        <f>'User Interface'!$E$14*1000*'Optimization Results'!D36</f>
        <v>0</v>
      </c>
      <c r="E36" s="1">
        <f>'User Interface'!$E$20*1000*'Optimization Results'!E36</f>
        <v>0</v>
      </c>
      <c r="F36" s="1">
        <f>'User Interface'!$E$20*1000*'Optimization Results'!F36</f>
        <v>0</v>
      </c>
      <c r="G36" s="1">
        <f>'User Interface'!$E$29*1000*'Optimization Results'!G36</f>
        <v>0</v>
      </c>
      <c r="H36" s="1">
        <f>'User Interface'!$E$35*1000*'Optimization Results'!H36</f>
        <v>0</v>
      </c>
      <c r="I36" s="1">
        <f>'User Interface'!$E$39*1000*'Optimization Results'!I36</f>
        <v>0</v>
      </c>
      <c r="J36">
        <v>0</v>
      </c>
      <c r="K36" s="1"/>
      <c r="L36" s="1">
        <f t="shared" si="11"/>
        <v>0</v>
      </c>
      <c r="M36" s="1"/>
      <c r="N36" s="105">
        <f t="shared" si="12"/>
        <v>0</v>
      </c>
      <c r="O36" s="1"/>
      <c r="P36" s="1">
        <f t="shared" si="13"/>
        <v>0</v>
      </c>
      <c r="Q36" s="1">
        <f t="shared" si="14"/>
        <v>0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H36" s="159">
        <f t="shared" si="4"/>
        <v>0</v>
      </c>
      <c r="EJ36" s="39">
        <f t="shared" si="5"/>
        <v>0</v>
      </c>
      <c r="EK36" s="39">
        <f t="shared" si="6"/>
        <v>0</v>
      </c>
      <c r="EL36" s="39">
        <f t="shared" si="7"/>
        <v>0</v>
      </c>
      <c r="EM36" s="39">
        <f t="shared" si="8"/>
        <v>0</v>
      </c>
      <c r="EN36" s="39">
        <f t="shared" si="9"/>
        <v>0</v>
      </c>
      <c r="EO36" s="39">
        <f t="shared" si="10"/>
        <v>0</v>
      </c>
    </row>
    <row r="37" spans="2:145" ht="14.25" customHeight="1" x14ac:dyDescent="0.3">
      <c r="B37" s="3">
        <f t="shared" si="15"/>
        <v>0.31250000000000105</v>
      </c>
      <c r="D37" s="1">
        <f>'User Interface'!$E$14*1000*'Optimization Results'!D37</f>
        <v>0</v>
      </c>
      <c r="E37" s="1">
        <f>'User Interface'!$E$20*1000*'Optimization Results'!E37</f>
        <v>0</v>
      </c>
      <c r="F37" s="1">
        <f>'User Interface'!$E$20*1000*'Optimization Results'!F37</f>
        <v>0</v>
      </c>
      <c r="G37" s="1">
        <f>'User Interface'!$E$29*1000*'Optimization Results'!G37</f>
        <v>0</v>
      </c>
      <c r="H37" s="1">
        <f>'User Interface'!$E$35*1000*'Optimization Results'!H37</f>
        <v>0</v>
      </c>
      <c r="I37" s="1">
        <f>'User Interface'!$E$39*1000*'Optimization Results'!I37</f>
        <v>0</v>
      </c>
      <c r="J37">
        <v>0</v>
      </c>
      <c r="K37" s="1"/>
      <c r="L37" s="1">
        <f t="shared" si="11"/>
        <v>0</v>
      </c>
      <c r="M37" s="1"/>
      <c r="N37" s="105">
        <f t="shared" si="12"/>
        <v>0</v>
      </c>
      <c r="O37" s="1"/>
      <c r="P37" s="1">
        <f t="shared" si="13"/>
        <v>0</v>
      </c>
      <c r="Q37" s="1">
        <f t="shared" si="14"/>
        <v>0</v>
      </c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H37" s="159">
        <f t="shared" si="4"/>
        <v>0</v>
      </c>
      <c r="EJ37" s="39">
        <f t="shared" si="5"/>
        <v>0</v>
      </c>
      <c r="EK37" s="39">
        <f t="shared" si="6"/>
        <v>0</v>
      </c>
      <c r="EL37" s="39">
        <f t="shared" si="7"/>
        <v>0</v>
      </c>
      <c r="EM37" s="39">
        <f t="shared" si="8"/>
        <v>0</v>
      </c>
      <c r="EN37" s="39">
        <f t="shared" si="9"/>
        <v>0</v>
      </c>
      <c r="EO37" s="39">
        <f t="shared" si="10"/>
        <v>0</v>
      </c>
    </row>
    <row r="38" spans="2:145" ht="14.25" customHeight="1" x14ac:dyDescent="0.3">
      <c r="B38" s="3">
        <f t="shared" si="15"/>
        <v>0.32291666666666774</v>
      </c>
      <c r="D38" s="1">
        <f>'User Interface'!$E$14*1000*'Optimization Results'!D38</f>
        <v>0</v>
      </c>
      <c r="E38" s="1">
        <f>'User Interface'!$E$20*1000*'Optimization Results'!E38</f>
        <v>0</v>
      </c>
      <c r="F38" s="1">
        <f>'User Interface'!$E$20*1000*'Optimization Results'!F38</f>
        <v>0</v>
      </c>
      <c r="G38" s="1">
        <f>'User Interface'!$E$29*1000*'Optimization Results'!G38</f>
        <v>0</v>
      </c>
      <c r="H38" s="1">
        <f>'User Interface'!$E$35*1000*'Optimization Results'!H38</f>
        <v>0</v>
      </c>
      <c r="I38" s="1">
        <f>'User Interface'!$E$39*1000*'Optimization Results'!I38</f>
        <v>0</v>
      </c>
      <c r="J38">
        <v>0</v>
      </c>
      <c r="K38" s="1"/>
      <c r="L38" s="1">
        <f t="shared" si="11"/>
        <v>0</v>
      </c>
      <c r="M38" s="1"/>
      <c r="N38" s="105">
        <f t="shared" si="12"/>
        <v>0</v>
      </c>
      <c r="O38" s="1"/>
      <c r="P38" s="1">
        <f t="shared" si="13"/>
        <v>0</v>
      </c>
      <c r="Q38" s="1">
        <f t="shared" si="14"/>
        <v>0</v>
      </c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H38" s="159">
        <f t="shared" si="4"/>
        <v>0</v>
      </c>
      <c r="EJ38" s="39">
        <f t="shared" si="5"/>
        <v>0</v>
      </c>
      <c r="EK38" s="39">
        <f t="shared" si="6"/>
        <v>0</v>
      </c>
      <c r="EL38" s="39">
        <f t="shared" si="7"/>
        <v>0</v>
      </c>
      <c r="EM38" s="39">
        <f t="shared" si="8"/>
        <v>0</v>
      </c>
      <c r="EN38" s="39">
        <f t="shared" si="9"/>
        <v>0</v>
      </c>
      <c r="EO38" s="39">
        <f t="shared" si="10"/>
        <v>0</v>
      </c>
    </row>
    <row r="39" spans="2:145" ht="14.25" customHeight="1" x14ac:dyDescent="0.3">
      <c r="B39" s="3">
        <f t="shared" si="15"/>
        <v>0.33333333333333443</v>
      </c>
      <c r="D39" s="1">
        <f>'User Interface'!$E$14*1000*'Optimization Results'!D39</f>
        <v>0</v>
      </c>
      <c r="E39" s="1">
        <f>'User Interface'!$E$20*1000*'Optimization Results'!E39</f>
        <v>0</v>
      </c>
      <c r="F39" s="1">
        <f>'User Interface'!$E$20*1000*'Optimization Results'!F39</f>
        <v>0</v>
      </c>
      <c r="G39" s="1">
        <f>'User Interface'!$E$29*1000*'Optimization Results'!G39</f>
        <v>0</v>
      </c>
      <c r="H39" s="1">
        <f>'User Interface'!$E$35*1000*'Optimization Results'!H39</f>
        <v>0</v>
      </c>
      <c r="I39" s="1">
        <f>'User Interface'!$E$39*1000*'Optimization Results'!I39</f>
        <v>0</v>
      </c>
      <c r="J39">
        <v>0</v>
      </c>
      <c r="K39" s="1"/>
      <c r="L39" s="1">
        <f t="shared" si="11"/>
        <v>0</v>
      </c>
      <c r="M39" s="1"/>
      <c r="N39" s="105">
        <f t="shared" si="12"/>
        <v>0</v>
      </c>
      <c r="O39" s="1"/>
      <c r="P39" s="1">
        <f t="shared" si="13"/>
        <v>0</v>
      </c>
      <c r="Q39" s="1">
        <f t="shared" si="14"/>
        <v>0</v>
      </c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H39" s="159">
        <f t="shared" ref="EH39:EH71" si="16">SUM(P39:Q39)</f>
        <v>0</v>
      </c>
      <c r="EJ39" s="39">
        <f t="shared" ref="EJ39:EJ70" si="17">IF(D39&gt;0,D39,0)</f>
        <v>0</v>
      </c>
      <c r="EK39" s="39">
        <f t="shared" ref="EK39:EK71" si="18">IF(F39&gt;0,F39,0)</f>
        <v>0</v>
      </c>
      <c r="EL39" s="39">
        <f t="shared" ref="EL39:EL71" si="19">IF(G39&gt;0,G39,0)</f>
        <v>0</v>
      </c>
      <c r="EM39" s="39">
        <f t="shared" ref="EM39:EM70" si="20">IF(D39&lt;0,D39,0)</f>
        <v>0</v>
      </c>
      <c r="EN39" s="39">
        <f t="shared" ref="EN39:EN71" si="21">IF(F39&lt;0,F39,0)</f>
        <v>0</v>
      </c>
      <c r="EO39" s="39">
        <f t="shared" ref="EO39:EO71" si="22">IF(G39&lt;0,G39,0)</f>
        <v>0</v>
      </c>
    </row>
    <row r="40" spans="2:145" ht="14.25" customHeight="1" x14ac:dyDescent="0.3">
      <c r="B40" s="3">
        <f t="shared" si="15"/>
        <v>0.34375000000000111</v>
      </c>
      <c r="D40" s="1">
        <f>'User Interface'!$E$14*1000*'Optimization Results'!D40</f>
        <v>0</v>
      </c>
      <c r="E40" s="1">
        <f>'User Interface'!$E$20*1000*'Optimization Results'!E40</f>
        <v>0</v>
      </c>
      <c r="F40" s="1">
        <f>'User Interface'!$E$20*1000*'Optimization Results'!F40</f>
        <v>0</v>
      </c>
      <c r="G40" s="1">
        <f>'User Interface'!$E$29*1000*'Optimization Results'!G40</f>
        <v>0</v>
      </c>
      <c r="H40" s="1">
        <f>'User Interface'!$E$35*1000*'Optimization Results'!H40</f>
        <v>0</v>
      </c>
      <c r="I40" s="1">
        <f>'User Interface'!$E$39*1000*'Optimization Results'!I40</f>
        <v>0</v>
      </c>
      <c r="J40">
        <v>0</v>
      </c>
      <c r="K40" s="1"/>
      <c r="L40" s="1">
        <f t="shared" si="11"/>
        <v>0</v>
      </c>
      <c r="M40" s="1"/>
      <c r="N40" s="105">
        <f t="shared" si="12"/>
        <v>0</v>
      </c>
      <c r="O40" s="1"/>
      <c r="P40" s="1">
        <f t="shared" si="13"/>
        <v>0</v>
      </c>
      <c r="Q40" s="1">
        <f t="shared" si="14"/>
        <v>0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H40" s="159">
        <f t="shared" si="16"/>
        <v>0</v>
      </c>
      <c r="EJ40" s="39">
        <f t="shared" si="17"/>
        <v>0</v>
      </c>
      <c r="EK40" s="39">
        <f t="shared" si="18"/>
        <v>0</v>
      </c>
      <c r="EL40" s="39">
        <f t="shared" si="19"/>
        <v>0</v>
      </c>
      <c r="EM40" s="39">
        <f t="shared" si="20"/>
        <v>0</v>
      </c>
      <c r="EN40" s="39">
        <f t="shared" si="21"/>
        <v>0</v>
      </c>
      <c r="EO40" s="39">
        <f t="shared" si="22"/>
        <v>0</v>
      </c>
    </row>
    <row r="41" spans="2:145" ht="14.25" customHeight="1" x14ac:dyDescent="0.3">
      <c r="B41" s="3">
        <f t="shared" si="15"/>
        <v>0.3541666666666678</v>
      </c>
      <c r="D41" s="1">
        <f>'User Interface'!$E$14*1000*'Optimization Results'!D41</f>
        <v>0</v>
      </c>
      <c r="E41" s="1">
        <f>'User Interface'!$E$20*1000*'Optimization Results'!E41</f>
        <v>0</v>
      </c>
      <c r="F41" s="1">
        <f>'User Interface'!$E$20*1000*'Optimization Results'!F41</f>
        <v>0</v>
      </c>
      <c r="G41" s="1">
        <f>'User Interface'!$E$29*1000*'Optimization Results'!G41</f>
        <v>0</v>
      </c>
      <c r="H41" s="1">
        <f>'User Interface'!$E$35*1000*'Optimization Results'!H41</f>
        <v>0</v>
      </c>
      <c r="I41" s="1">
        <f>'User Interface'!$E$39*1000*'Optimization Results'!I41</f>
        <v>0</v>
      </c>
      <c r="J41">
        <v>0</v>
      </c>
      <c r="K41" s="1"/>
      <c r="L41" s="1">
        <f t="shared" si="11"/>
        <v>0</v>
      </c>
      <c r="M41" s="1"/>
      <c r="N41" s="105">
        <f t="shared" si="12"/>
        <v>0</v>
      </c>
      <c r="O41" s="1"/>
      <c r="P41" s="1">
        <f t="shared" si="13"/>
        <v>0</v>
      </c>
      <c r="Q41" s="1">
        <f t="shared" si="14"/>
        <v>0</v>
      </c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H41" s="159">
        <f t="shared" si="16"/>
        <v>0</v>
      </c>
      <c r="EJ41" s="39">
        <f t="shared" si="17"/>
        <v>0</v>
      </c>
      <c r="EK41" s="39">
        <f t="shared" si="18"/>
        <v>0</v>
      </c>
      <c r="EL41" s="39">
        <f t="shared" si="19"/>
        <v>0</v>
      </c>
      <c r="EM41" s="39">
        <f t="shared" si="20"/>
        <v>0</v>
      </c>
      <c r="EN41" s="39">
        <f t="shared" si="21"/>
        <v>0</v>
      </c>
      <c r="EO41" s="39">
        <f t="shared" si="22"/>
        <v>0</v>
      </c>
    </row>
    <row r="42" spans="2:145" ht="14.25" customHeight="1" x14ac:dyDescent="0.3">
      <c r="B42" s="3">
        <f t="shared" si="15"/>
        <v>0.36458333333333448</v>
      </c>
      <c r="D42" s="1">
        <f>'User Interface'!$E$14*1000*'Optimization Results'!D42</f>
        <v>0</v>
      </c>
      <c r="E42" s="1">
        <f>'User Interface'!$E$20*1000*'Optimization Results'!E42</f>
        <v>0</v>
      </c>
      <c r="F42" s="1">
        <f>'User Interface'!$E$20*1000*'Optimization Results'!F42</f>
        <v>0</v>
      </c>
      <c r="G42" s="1">
        <f>'User Interface'!$E$29*1000*'Optimization Results'!G42</f>
        <v>0</v>
      </c>
      <c r="H42" s="1">
        <f>'User Interface'!$E$35*1000*'Optimization Results'!H42</f>
        <v>0</v>
      </c>
      <c r="I42" s="1">
        <f>'User Interface'!$E$39*1000*'Optimization Results'!I42</f>
        <v>0</v>
      </c>
      <c r="J42">
        <v>0</v>
      </c>
      <c r="K42" s="1"/>
      <c r="L42" s="1">
        <f t="shared" si="11"/>
        <v>0</v>
      </c>
      <c r="M42" s="1"/>
      <c r="N42" s="105">
        <f t="shared" si="12"/>
        <v>0</v>
      </c>
      <c r="O42" s="1"/>
      <c r="P42" s="1">
        <f t="shared" si="13"/>
        <v>0</v>
      </c>
      <c r="Q42" s="1">
        <f t="shared" si="14"/>
        <v>0</v>
      </c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H42" s="159">
        <f t="shared" si="16"/>
        <v>0</v>
      </c>
      <c r="EJ42" s="39">
        <f t="shared" si="17"/>
        <v>0</v>
      </c>
      <c r="EK42" s="39">
        <f t="shared" si="18"/>
        <v>0</v>
      </c>
      <c r="EL42" s="39">
        <f t="shared" si="19"/>
        <v>0</v>
      </c>
      <c r="EM42" s="39">
        <f t="shared" si="20"/>
        <v>0</v>
      </c>
      <c r="EN42" s="39">
        <f t="shared" si="21"/>
        <v>0</v>
      </c>
      <c r="EO42" s="39">
        <f t="shared" si="22"/>
        <v>0</v>
      </c>
    </row>
    <row r="43" spans="2:145" ht="14.25" customHeight="1" x14ac:dyDescent="0.3">
      <c r="B43" s="3">
        <f t="shared" si="15"/>
        <v>0.37500000000000117</v>
      </c>
      <c r="D43" s="1">
        <f>'User Interface'!$E$14*1000*'Optimization Results'!D43</f>
        <v>0</v>
      </c>
      <c r="E43" s="1">
        <f>'User Interface'!$E$20*1000*'Optimization Results'!E43</f>
        <v>0</v>
      </c>
      <c r="F43" s="1">
        <f>'User Interface'!$E$20*1000*'Optimization Results'!F43</f>
        <v>0</v>
      </c>
      <c r="G43" s="1">
        <f>'User Interface'!$E$29*1000*'Optimization Results'!G43</f>
        <v>0</v>
      </c>
      <c r="H43" s="1">
        <f>'User Interface'!$E$35*1000*'Optimization Results'!H43</f>
        <v>0</v>
      </c>
      <c r="I43" s="1">
        <f>'User Interface'!$E$39*1000*'Optimization Results'!I43</f>
        <v>0</v>
      </c>
      <c r="J43">
        <v>0</v>
      </c>
      <c r="K43" s="1"/>
      <c r="L43" s="1">
        <f t="shared" si="11"/>
        <v>0</v>
      </c>
      <c r="M43" s="1"/>
      <c r="N43" s="105">
        <f t="shared" si="12"/>
        <v>0</v>
      </c>
      <c r="O43" s="1"/>
      <c r="P43" s="1">
        <f t="shared" si="13"/>
        <v>0</v>
      </c>
      <c r="Q43" s="1">
        <f t="shared" si="14"/>
        <v>0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H43" s="159">
        <f t="shared" si="16"/>
        <v>0</v>
      </c>
      <c r="EJ43" s="39">
        <f t="shared" si="17"/>
        <v>0</v>
      </c>
      <c r="EK43" s="39">
        <f t="shared" si="18"/>
        <v>0</v>
      </c>
      <c r="EL43" s="39">
        <f t="shared" si="19"/>
        <v>0</v>
      </c>
      <c r="EM43" s="39">
        <f t="shared" si="20"/>
        <v>0</v>
      </c>
      <c r="EN43" s="39">
        <f t="shared" si="21"/>
        <v>0</v>
      </c>
      <c r="EO43" s="39">
        <f t="shared" si="22"/>
        <v>0</v>
      </c>
    </row>
    <row r="44" spans="2:145" ht="14.25" customHeight="1" x14ac:dyDescent="0.3">
      <c r="B44" s="3">
        <f t="shared" si="15"/>
        <v>0.38541666666666785</v>
      </c>
      <c r="D44" s="1">
        <f>'User Interface'!$E$14*1000*'Optimization Results'!D44</f>
        <v>0</v>
      </c>
      <c r="E44" s="1">
        <f>'User Interface'!$E$20*1000*'Optimization Results'!E44</f>
        <v>0</v>
      </c>
      <c r="F44" s="1">
        <f>'User Interface'!$E$20*1000*'Optimization Results'!F44</f>
        <v>0</v>
      </c>
      <c r="G44" s="1">
        <f>'User Interface'!$E$29*1000*'Optimization Results'!G44</f>
        <v>0</v>
      </c>
      <c r="H44" s="1">
        <f>'User Interface'!$E$35*1000*'Optimization Results'!H44</f>
        <v>0</v>
      </c>
      <c r="I44" s="1">
        <f>'User Interface'!$E$39*1000*'Optimization Results'!I44</f>
        <v>0</v>
      </c>
      <c r="J44">
        <v>0</v>
      </c>
      <c r="K44" s="1"/>
      <c r="L44" s="1">
        <f t="shared" si="11"/>
        <v>0</v>
      </c>
      <c r="M44" s="1"/>
      <c r="N44" s="105">
        <f t="shared" si="12"/>
        <v>0</v>
      </c>
      <c r="O44" s="1"/>
      <c r="P44" s="1">
        <f t="shared" si="13"/>
        <v>0</v>
      </c>
      <c r="Q44" s="1">
        <f t="shared" si="14"/>
        <v>0</v>
      </c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H44" s="159">
        <f t="shared" si="16"/>
        <v>0</v>
      </c>
      <c r="EJ44" s="39">
        <f t="shared" si="17"/>
        <v>0</v>
      </c>
      <c r="EK44" s="39">
        <f t="shared" si="18"/>
        <v>0</v>
      </c>
      <c r="EL44" s="39">
        <f t="shared" si="19"/>
        <v>0</v>
      </c>
      <c r="EM44" s="39">
        <f t="shared" si="20"/>
        <v>0</v>
      </c>
      <c r="EN44" s="39">
        <f t="shared" si="21"/>
        <v>0</v>
      </c>
      <c r="EO44" s="39">
        <f t="shared" si="22"/>
        <v>0</v>
      </c>
    </row>
    <row r="45" spans="2:145" ht="14.25" customHeight="1" x14ac:dyDescent="0.3">
      <c r="B45" s="3">
        <f t="shared" si="15"/>
        <v>0.39583333333333454</v>
      </c>
      <c r="D45" s="1">
        <f>'User Interface'!$E$14*1000*'Optimization Results'!D45</f>
        <v>0</v>
      </c>
      <c r="E45" s="1">
        <f>'User Interface'!$E$20*1000*'Optimization Results'!E45</f>
        <v>0</v>
      </c>
      <c r="F45" s="1">
        <f>'User Interface'!$E$20*1000*'Optimization Results'!F45</f>
        <v>0</v>
      </c>
      <c r="G45" s="1">
        <f>'User Interface'!$E$29*1000*'Optimization Results'!G45</f>
        <v>0</v>
      </c>
      <c r="H45" s="1">
        <f>'User Interface'!$E$35*1000*'Optimization Results'!H45</f>
        <v>0</v>
      </c>
      <c r="I45" s="1">
        <f>'User Interface'!$E$39*1000*'Optimization Results'!I45</f>
        <v>0</v>
      </c>
      <c r="J45">
        <v>0</v>
      </c>
      <c r="K45" s="1"/>
      <c r="L45" s="1">
        <f t="shared" si="11"/>
        <v>0</v>
      </c>
      <c r="M45" s="1"/>
      <c r="N45" s="105">
        <f t="shared" si="12"/>
        <v>0</v>
      </c>
      <c r="O45" s="1"/>
      <c r="P45" s="1">
        <f t="shared" si="13"/>
        <v>0</v>
      </c>
      <c r="Q45" s="1">
        <f t="shared" si="14"/>
        <v>0</v>
      </c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H45" s="159">
        <f t="shared" si="16"/>
        <v>0</v>
      </c>
      <c r="EJ45" s="39">
        <f t="shared" si="17"/>
        <v>0</v>
      </c>
      <c r="EK45" s="39">
        <f t="shared" si="18"/>
        <v>0</v>
      </c>
      <c r="EL45" s="39">
        <f t="shared" si="19"/>
        <v>0</v>
      </c>
      <c r="EM45" s="39">
        <f t="shared" si="20"/>
        <v>0</v>
      </c>
      <c r="EN45" s="39">
        <f t="shared" si="21"/>
        <v>0</v>
      </c>
      <c r="EO45" s="39">
        <f t="shared" si="22"/>
        <v>0</v>
      </c>
    </row>
    <row r="46" spans="2:145" ht="14.25" customHeight="1" x14ac:dyDescent="0.3">
      <c r="B46" s="3">
        <f t="shared" si="15"/>
        <v>0.40625000000000122</v>
      </c>
      <c r="D46" s="1">
        <f>'User Interface'!$E$14*1000*'Optimization Results'!D46</f>
        <v>0</v>
      </c>
      <c r="E46" s="1">
        <f>'User Interface'!$E$20*1000*'Optimization Results'!E46</f>
        <v>0</v>
      </c>
      <c r="F46" s="1">
        <f>'User Interface'!$E$20*1000*'Optimization Results'!F46</f>
        <v>0</v>
      </c>
      <c r="G46" s="1">
        <f>'User Interface'!$E$29*1000*'Optimization Results'!G46</f>
        <v>0</v>
      </c>
      <c r="H46" s="1">
        <f>'User Interface'!$E$35*1000*'Optimization Results'!H46</f>
        <v>0</v>
      </c>
      <c r="I46" s="1">
        <f>'User Interface'!$E$39*1000*'Optimization Results'!I46</f>
        <v>0</v>
      </c>
      <c r="J46">
        <v>0</v>
      </c>
      <c r="K46" s="1"/>
      <c r="L46" s="1">
        <f t="shared" si="11"/>
        <v>0</v>
      </c>
      <c r="M46" s="1"/>
      <c r="N46" s="105">
        <f t="shared" si="12"/>
        <v>0</v>
      </c>
      <c r="O46" s="1"/>
      <c r="P46" s="1">
        <f t="shared" si="13"/>
        <v>0</v>
      </c>
      <c r="Q46" s="1">
        <f t="shared" si="14"/>
        <v>0</v>
      </c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H46" s="159">
        <f t="shared" si="16"/>
        <v>0</v>
      </c>
      <c r="EJ46" s="39">
        <f t="shared" si="17"/>
        <v>0</v>
      </c>
      <c r="EK46" s="39">
        <f t="shared" si="18"/>
        <v>0</v>
      </c>
      <c r="EL46" s="39">
        <f t="shared" si="19"/>
        <v>0</v>
      </c>
      <c r="EM46" s="39">
        <f t="shared" si="20"/>
        <v>0</v>
      </c>
      <c r="EN46" s="39">
        <f t="shared" si="21"/>
        <v>0</v>
      </c>
      <c r="EO46" s="39">
        <f t="shared" si="22"/>
        <v>0</v>
      </c>
    </row>
    <row r="47" spans="2:145" ht="14.25" customHeight="1" x14ac:dyDescent="0.3">
      <c r="B47" s="3">
        <f t="shared" si="15"/>
        <v>0.41666666666666791</v>
      </c>
      <c r="D47" s="1">
        <f>'User Interface'!$E$14*1000*'Optimization Results'!D47</f>
        <v>0</v>
      </c>
      <c r="E47" s="1">
        <f>'User Interface'!$E$20*1000*'Optimization Results'!E47</f>
        <v>0</v>
      </c>
      <c r="F47" s="1">
        <f>'User Interface'!$E$20*1000*'Optimization Results'!F47</f>
        <v>0</v>
      </c>
      <c r="G47" s="1">
        <f>'User Interface'!$E$29*1000*'Optimization Results'!G47</f>
        <v>0</v>
      </c>
      <c r="H47" s="1">
        <f>'User Interface'!$E$35*1000*'Optimization Results'!H47</f>
        <v>0</v>
      </c>
      <c r="I47" s="1">
        <f>'User Interface'!$E$39*1000*'Optimization Results'!I47</f>
        <v>0</v>
      </c>
      <c r="J47">
        <v>0</v>
      </c>
      <c r="K47" s="1"/>
      <c r="L47" s="1">
        <f t="shared" si="11"/>
        <v>0</v>
      </c>
      <c r="M47" s="1"/>
      <c r="N47" s="105">
        <f t="shared" si="12"/>
        <v>0</v>
      </c>
      <c r="O47" s="1"/>
      <c r="P47" s="1">
        <f t="shared" si="13"/>
        <v>0</v>
      </c>
      <c r="Q47" s="1">
        <f t="shared" si="14"/>
        <v>0</v>
      </c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H47" s="159">
        <f t="shared" si="16"/>
        <v>0</v>
      </c>
      <c r="EJ47" s="39">
        <f t="shared" si="17"/>
        <v>0</v>
      </c>
      <c r="EK47" s="39">
        <f t="shared" si="18"/>
        <v>0</v>
      </c>
      <c r="EL47" s="39">
        <f t="shared" si="19"/>
        <v>0</v>
      </c>
      <c r="EM47" s="39">
        <f t="shared" si="20"/>
        <v>0</v>
      </c>
      <c r="EN47" s="39">
        <f t="shared" si="21"/>
        <v>0</v>
      </c>
      <c r="EO47" s="39">
        <f t="shared" si="22"/>
        <v>0</v>
      </c>
    </row>
    <row r="48" spans="2:145" ht="14.25" customHeight="1" x14ac:dyDescent="0.3">
      <c r="B48" s="3">
        <f t="shared" si="15"/>
        <v>0.42708333333333459</v>
      </c>
      <c r="D48" s="1">
        <f>'User Interface'!$E$14*1000*'Optimization Results'!D48</f>
        <v>0</v>
      </c>
      <c r="E48" s="1">
        <f>'User Interface'!$E$20*1000*'Optimization Results'!E48</f>
        <v>0</v>
      </c>
      <c r="F48" s="1">
        <f>'User Interface'!$E$20*1000*'Optimization Results'!F48</f>
        <v>0</v>
      </c>
      <c r="G48" s="1">
        <f>'User Interface'!$E$29*1000*'Optimization Results'!G48</f>
        <v>0</v>
      </c>
      <c r="H48" s="1">
        <f>'User Interface'!$E$35*1000*'Optimization Results'!H48</f>
        <v>0</v>
      </c>
      <c r="I48" s="1">
        <f>'User Interface'!$E$39*1000*'Optimization Results'!I48</f>
        <v>0</v>
      </c>
      <c r="J48">
        <v>0</v>
      </c>
      <c r="K48" s="1"/>
      <c r="L48" s="1">
        <f t="shared" si="11"/>
        <v>0</v>
      </c>
      <c r="M48" s="1"/>
      <c r="N48" s="105">
        <f t="shared" si="12"/>
        <v>0</v>
      </c>
      <c r="O48" s="1"/>
      <c r="P48" s="1">
        <f t="shared" si="13"/>
        <v>0</v>
      </c>
      <c r="Q48" s="1">
        <f t="shared" si="14"/>
        <v>0</v>
      </c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H48" s="159">
        <f t="shared" si="16"/>
        <v>0</v>
      </c>
      <c r="EJ48" s="39">
        <f t="shared" si="17"/>
        <v>0</v>
      </c>
      <c r="EK48" s="39">
        <f t="shared" si="18"/>
        <v>0</v>
      </c>
      <c r="EL48" s="39">
        <f t="shared" si="19"/>
        <v>0</v>
      </c>
      <c r="EM48" s="39">
        <f t="shared" si="20"/>
        <v>0</v>
      </c>
      <c r="EN48" s="39">
        <f t="shared" si="21"/>
        <v>0</v>
      </c>
      <c r="EO48" s="39">
        <f t="shared" si="22"/>
        <v>0</v>
      </c>
    </row>
    <row r="49" spans="2:145" ht="14.25" customHeight="1" x14ac:dyDescent="0.3">
      <c r="B49" s="3">
        <f t="shared" si="15"/>
        <v>0.43750000000000128</v>
      </c>
      <c r="D49" s="1">
        <f>'User Interface'!$E$14*1000*'Optimization Results'!D49</f>
        <v>0</v>
      </c>
      <c r="E49" s="1">
        <f>'User Interface'!$E$20*1000*'Optimization Results'!E49</f>
        <v>0</v>
      </c>
      <c r="F49" s="1">
        <f>'User Interface'!$E$20*1000*'Optimization Results'!F49</f>
        <v>0</v>
      </c>
      <c r="G49" s="1">
        <f>'User Interface'!$E$29*1000*'Optimization Results'!G49</f>
        <v>0</v>
      </c>
      <c r="H49" s="1">
        <f>'User Interface'!$E$35*1000*'Optimization Results'!H49</f>
        <v>0</v>
      </c>
      <c r="I49" s="1">
        <f>'User Interface'!$E$39*1000*'Optimization Results'!I49</f>
        <v>0</v>
      </c>
      <c r="J49">
        <v>0</v>
      </c>
      <c r="K49" s="1"/>
      <c r="L49" s="1">
        <f t="shared" si="11"/>
        <v>0</v>
      </c>
      <c r="M49" s="1"/>
      <c r="N49" s="105">
        <f t="shared" si="12"/>
        <v>0</v>
      </c>
      <c r="O49" s="1"/>
      <c r="P49" s="1">
        <f t="shared" si="13"/>
        <v>0</v>
      </c>
      <c r="Q49" s="1">
        <f t="shared" si="14"/>
        <v>0</v>
      </c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H49" s="159">
        <f t="shared" si="16"/>
        <v>0</v>
      </c>
      <c r="EJ49" s="39">
        <f t="shared" si="17"/>
        <v>0</v>
      </c>
      <c r="EK49" s="39">
        <f t="shared" si="18"/>
        <v>0</v>
      </c>
      <c r="EL49" s="39">
        <f t="shared" si="19"/>
        <v>0</v>
      </c>
      <c r="EM49" s="39">
        <f t="shared" si="20"/>
        <v>0</v>
      </c>
      <c r="EN49" s="39">
        <f t="shared" si="21"/>
        <v>0</v>
      </c>
      <c r="EO49" s="39">
        <f t="shared" si="22"/>
        <v>0</v>
      </c>
    </row>
    <row r="50" spans="2:145" ht="14.25" customHeight="1" x14ac:dyDescent="0.3">
      <c r="B50" s="3">
        <f t="shared" si="15"/>
        <v>0.44791666666666796</v>
      </c>
      <c r="D50" s="1">
        <f>'User Interface'!$E$14*1000*'Optimization Results'!D50</f>
        <v>0</v>
      </c>
      <c r="E50" s="1">
        <f>'User Interface'!$E$20*1000*'Optimization Results'!E50</f>
        <v>0</v>
      </c>
      <c r="F50" s="1">
        <f>'User Interface'!$E$20*1000*'Optimization Results'!F50</f>
        <v>0</v>
      </c>
      <c r="G50" s="1">
        <f>'User Interface'!$E$29*1000*'Optimization Results'!G50</f>
        <v>0</v>
      </c>
      <c r="H50" s="1">
        <f>'User Interface'!$E$35*1000*'Optimization Results'!H50</f>
        <v>0</v>
      </c>
      <c r="I50" s="1">
        <f>'User Interface'!$E$39*1000*'Optimization Results'!I50</f>
        <v>0</v>
      </c>
      <c r="J50">
        <v>0</v>
      </c>
      <c r="K50" s="1"/>
      <c r="L50" s="1">
        <f t="shared" si="11"/>
        <v>0</v>
      </c>
      <c r="M50" s="1"/>
      <c r="N50" s="105">
        <f t="shared" si="12"/>
        <v>0</v>
      </c>
      <c r="O50" s="1"/>
      <c r="P50" s="1">
        <f t="shared" si="13"/>
        <v>0</v>
      </c>
      <c r="Q50" s="1">
        <f t="shared" si="14"/>
        <v>0</v>
      </c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H50" s="159">
        <f t="shared" si="16"/>
        <v>0</v>
      </c>
      <c r="EJ50" s="39">
        <f t="shared" si="17"/>
        <v>0</v>
      </c>
      <c r="EK50" s="39">
        <f t="shared" si="18"/>
        <v>0</v>
      </c>
      <c r="EL50" s="39">
        <f t="shared" si="19"/>
        <v>0</v>
      </c>
      <c r="EM50" s="39">
        <f t="shared" si="20"/>
        <v>0</v>
      </c>
      <c r="EN50" s="39">
        <f t="shared" si="21"/>
        <v>0</v>
      </c>
      <c r="EO50" s="39">
        <f t="shared" si="22"/>
        <v>0</v>
      </c>
    </row>
    <row r="51" spans="2:145" ht="14.25" customHeight="1" x14ac:dyDescent="0.3">
      <c r="B51" s="3">
        <f t="shared" si="15"/>
        <v>0.45833333333333465</v>
      </c>
      <c r="D51" s="1">
        <f>'User Interface'!$E$14*1000*'Optimization Results'!D51</f>
        <v>0</v>
      </c>
      <c r="E51" s="1">
        <f>'User Interface'!$E$20*1000*'Optimization Results'!E51</f>
        <v>0</v>
      </c>
      <c r="F51" s="1">
        <f>'User Interface'!$E$20*1000*'Optimization Results'!F51</f>
        <v>0</v>
      </c>
      <c r="G51" s="1">
        <f>'User Interface'!$E$29*1000*'Optimization Results'!G51</f>
        <v>0</v>
      </c>
      <c r="H51" s="1">
        <f>'User Interface'!$E$35*1000*'Optimization Results'!H51</f>
        <v>0</v>
      </c>
      <c r="I51" s="1">
        <f>'User Interface'!$E$39*1000*'Optimization Results'!I51</f>
        <v>0</v>
      </c>
      <c r="J51">
        <v>0</v>
      </c>
      <c r="K51" s="1"/>
      <c r="L51" s="1">
        <f t="shared" si="11"/>
        <v>0</v>
      </c>
      <c r="M51" s="1"/>
      <c r="N51" s="105">
        <f t="shared" si="12"/>
        <v>0</v>
      </c>
      <c r="O51" s="1"/>
      <c r="P51" s="1">
        <f t="shared" si="13"/>
        <v>0</v>
      </c>
      <c r="Q51" s="1">
        <f t="shared" si="14"/>
        <v>0</v>
      </c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H51" s="159">
        <f t="shared" si="16"/>
        <v>0</v>
      </c>
      <c r="EJ51" s="39">
        <f t="shared" si="17"/>
        <v>0</v>
      </c>
      <c r="EK51" s="39">
        <f t="shared" si="18"/>
        <v>0</v>
      </c>
      <c r="EL51" s="39">
        <f t="shared" si="19"/>
        <v>0</v>
      </c>
      <c r="EM51" s="39">
        <f t="shared" si="20"/>
        <v>0</v>
      </c>
      <c r="EN51" s="39">
        <f t="shared" si="21"/>
        <v>0</v>
      </c>
      <c r="EO51" s="39">
        <f t="shared" si="22"/>
        <v>0</v>
      </c>
    </row>
    <row r="52" spans="2:145" ht="14.25" customHeight="1" x14ac:dyDescent="0.3">
      <c r="B52" s="3">
        <f t="shared" si="15"/>
        <v>0.46875000000000133</v>
      </c>
      <c r="D52" s="1">
        <f>'User Interface'!$E$14*1000*'Optimization Results'!D52</f>
        <v>0</v>
      </c>
      <c r="E52" s="1">
        <f>'User Interface'!$E$20*1000*'Optimization Results'!E52</f>
        <v>0</v>
      </c>
      <c r="F52" s="1">
        <f>'User Interface'!$E$20*1000*'Optimization Results'!F52</f>
        <v>0</v>
      </c>
      <c r="G52" s="1">
        <f>'User Interface'!$E$29*1000*'Optimization Results'!G52</f>
        <v>0</v>
      </c>
      <c r="H52" s="1">
        <f>'User Interface'!$E$35*1000*'Optimization Results'!H52</f>
        <v>0</v>
      </c>
      <c r="I52" s="1">
        <f>'User Interface'!$E$39*1000*'Optimization Results'!I52</f>
        <v>0</v>
      </c>
      <c r="J52">
        <v>0</v>
      </c>
      <c r="K52" s="1"/>
      <c r="L52" s="1">
        <f t="shared" si="11"/>
        <v>0</v>
      </c>
      <c r="M52" s="1"/>
      <c r="N52" s="105">
        <f t="shared" si="12"/>
        <v>0</v>
      </c>
      <c r="O52" s="1"/>
      <c r="P52" s="1">
        <f t="shared" si="13"/>
        <v>0</v>
      </c>
      <c r="Q52" s="1">
        <f t="shared" si="14"/>
        <v>0</v>
      </c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H52" s="159">
        <f t="shared" si="16"/>
        <v>0</v>
      </c>
      <c r="EJ52" s="39">
        <f t="shared" si="17"/>
        <v>0</v>
      </c>
      <c r="EK52" s="39">
        <f t="shared" si="18"/>
        <v>0</v>
      </c>
      <c r="EL52" s="39">
        <f t="shared" si="19"/>
        <v>0</v>
      </c>
      <c r="EM52" s="39">
        <f t="shared" si="20"/>
        <v>0</v>
      </c>
      <c r="EN52" s="39">
        <f t="shared" si="21"/>
        <v>0</v>
      </c>
      <c r="EO52" s="39">
        <f t="shared" si="22"/>
        <v>0</v>
      </c>
    </row>
    <row r="53" spans="2:145" ht="14.25" customHeight="1" x14ac:dyDescent="0.3">
      <c r="B53" s="3">
        <f t="shared" si="15"/>
        <v>0.47916666666666802</v>
      </c>
      <c r="D53" s="1">
        <f>'User Interface'!$E$14*1000*'Optimization Results'!D53</f>
        <v>0</v>
      </c>
      <c r="E53" s="1">
        <f>'User Interface'!$E$20*1000*'Optimization Results'!E53</f>
        <v>0</v>
      </c>
      <c r="F53" s="1">
        <f>'User Interface'!$E$20*1000*'Optimization Results'!F53</f>
        <v>0</v>
      </c>
      <c r="G53" s="1">
        <f>'User Interface'!$E$29*1000*'Optimization Results'!G53</f>
        <v>0</v>
      </c>
      <c r="H53" s="1">
        <f>'User Interface'!$E$35*1000*'Optimization Results'!H53</f>
        <v>0</v>
      </c>
      <c r="I53" s="1">
        <f>'User Interface'!$E$39*1000*'Optimization Results'!I53</f>
        <v>0</v>
      </c>
      <c r="J53">
        <v>0</v>
      </c>
      <c r="K53" s="1"/>
      <c r="L53" s="1">
        <f t="shared" si="11"/>
        <v>0</v>
      </c>
      <c r="M53" s="1"/>
      <c r="N53" s="105">
        <f t="shared" si="12"/>
        <v>0</v>
      </c>
      <c r="O53" s="1"/>
      <c r="P53" s="1">
        <f t="shared" si="13"/>
        <v>0</v>
      </c>
      <c r="Q53" s="1">
        <f t="shared" si="14"/>
        <v>0</v>
      </c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H53" s="159">
        <f t="shared" si="16"/>
        <v>0</v>
      </c>
      <c r="EJ53" s="39">
        <f t="shared" si="17"/>
        <v>0</v>
      </c>
      <c r="EK53" s="39">
        <f t="shared" si="18"/>
        <v>0</v>
      </c>
      <c r="EL53" s="39">
        <f t="shared" si="19"/>
        <v>0</v>
      </c>
      <c r="EM53" s="39">
        <f t="shared" si="20"/>
        <v>0</v>
      </c>
      <c r="EN53" s="39">
        <f t="shared" si="21"/>
        <v>0</v>
      </c>
      <c r="EO53" s="39">
        <f t="shared" si="22"/>
        <v>0</v>
      </c>
    </row>
    <row r="54" spans="2:145" ht="14.25" customHeight="1" x14ac:dyDescent="0.3">
      <c r="B54" s="3">
        <f t="shared" si="15"/>
        <v>0.4895833333333347</v>
      </c>
      <c r="D54" s="1">
        <f>'User Interface'!$E$14*1000*'Optimization Results'!D54</f>
        <v>0</v>
      </c>
      <c r="E54" s="1">
        <f>'User Interface'!$E$20*1000*'Optimization Results'!E54</f>
        <v>0</v>
      </c>
      <c r="F54" s="1">
        <f>'User Interface'!$E$20*1000*'Optimization Results'!F54</f>
        <v>0</v>
      </c>
      <c r="G54" s="1">
        <f>'User Interface'!$E$29*1000*'Optimization Results'!G54</f>
        <v>0</v>
      </c>
      <c r="H54" s="1">
        <f>'User Interface'!$E$35*1000*'Optimization Results'!H54</f>
        <v>0</v>
      </c>
      <c r="I54" s="1">
        <f>'User Interface'!$E$39*1000*'Optimization Results'!I54</f>
        <v>0</v>
      </c>
      <c r="J54">
        <v>0</v>
      </c>
      <c r="K54" s="1"/>
      <c r="L54" s="1">
        <f t="shared" si="11"/>
        <v>0</v>
      </c>
      <c r="M54" s="1"/>
      <c r="N54" s="105">
        <f t="shared" si="12"/>
        <v>0</v>
      </c>
      <c r="O54" s="1"/>
      <c r="P54" s="1">
        <f t="shared" si="13"/>
        <v>0</v>
      </c>
      <c r="Q54" s="1">
        <f t="shared" si="14"/>
        <v>0</v>
      </c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H54" s="159">
        <f t="shared" si="16"/>
        <v>0</v>
      </c>
      <c r="EJ54" s="39">
        <f t="shared" si="17"/>
        <v>0</v>
      </c>
      <c r="EK54" s="39">
        <f t="shared" si="18"/>
        <v>0</v>
      </c>
      <c r="EL54" s="39">
        <f t="shared" si="19"/>
        <v>0</v>
      </c>
      <c r="EM54" s="39">
        <f t="shared" si="20"/>
        <v>0</v>
      </c>
      <c r="EN54" s="39">
        <f t="shared" si="21"/>
        <v>0</v>
      </c>
      <c r="EO54" s="39">
        <f t="shared" si="22"/>
        <v>0</v>
      </c>
    </row>
    <row r="55" spans="2:145" ht="14.25" customHeight="1" x14ac:dyDescent="0.3">
      <c r="B55" s="3">
        <f t="shared" si="15"/>
        <v>0.50000000000000144</v>
      </c>
      <c r="D55" s="1">
        <f>'User Interface'!$E$14*1000*'Optimization Results'!D55</f>
        <v>0</v>
      </c>
      <c r="E55" s="1">
        <f>'User Interface'!$E$20*1000*'Optimization Results'!E55</f>
        <v>0</v>
      </c>
      <c r="F55" s="1">
        <f>'User Interface'!$E$20*1000*'Optimization Results'!F55</f>
        <v>0</v>
      </c>
      <c r="G55" s="1">
        <f>'User Interface'!$E$29*1000*'Optimization Results'!G55</f>
        <v>0</v>
      </c>
      <c r="H55" s="1">
        <f>'User Interface'!$E$35*1000*'Optimization Results'!H55</f>
        <v>0</v>
      </c>
      <c r="I55" s="1">
        <f>'User Interface'!$E$39*1000*'Optimization Results'!I55</f>
        <v>0</v>
      </c>
      <c r="J55">
        <v>0</v>
      </c>
      <c r="K55" s="1"/>
      <c r="L55" s="1">
        <f t="shared" si="11"/>
        <v>0</v>
      </c>
      <c r="M55" s="1"/>
      <c r="N55" s="105">
        <f t="shared" si="12"/>
        <v>0</v>
      </c>
      <c r="O55" s="1"/>
      <c r="P55" s="1">
        <f t="shared" si="13"/>
        <v>0</v>
      </c>
      <c r="Q55" s="1">
        <f t="shared" si="14"/>
        <v>0</v>
      </c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H55" s="159">
        <f t="shared" si="16"/>
        <v>0</v>
      </c>
      <c r="EJ55" s="39">
        <f t="shared" si="17"/>
        <v>0</v>
      </c>
      <c r="EK55" s="39">
        <f t="shared" si="18"/>
        <v>0</v>
      </c>
      <c r="EL55" s="39">
        <f t="shared" si="19"/>
        <v>0</v>
      </c>
      <c r="EM55" s="39">
        <f t="shared" si="20"/>
        <v>0</v>
      </c>
      <c r="EN55" s="39">
        <f t="shared" si="21"/>
        <v>0</v>
      </c>
      <c r="EO55" s="39">
        <f t="shared" si="22"/>
        <v>0</v>
      </c>
    </row>
    <row r="56" spans="2:145" ht="14.25" customHeight="1" x14ac:dyDescent="0.3">
      <c r="B56" s="3">
        <f t="shared" si="15"/>
        <v>0.51041666666666818</v>
      </c>
      <c r="D56" s="1">
        <f>'User Interface'!$E$14*1000*'Optimization Results'!D56</f>
        <v>0</v>
      </c>
      <c r="E56" s="1">
        <f>'User Interface'!$E$20*1000*'Optimization Results'!E56</f>
        <v>0</v>
      </c>
      <c r="F56" s="1">
        <f>'User Interface'!$E$20*1000*'Optimization Results'!F56</f>
        <v>0</v>
      </c>
      <c r="G56" s="1">
        <f>'User Interface'!$E$29*1000*'Optimization Results'!G56</f>
        <v>0</v>
      </c>
      <c r="H56" s="1">
        <f>'User Interface'!$E$35*1000*'Optimization Results'!H56</f>
        <v>0</v>
      </c>
      <c r="I56" s="1">
        <f>'User Interface'!$E$39*1000*'Optimization Results'!I56</f>
        <v>0</v>
      </c>
      <c r="J56">
        <v>0</v>
      </c>
      <c r="K56" s="1"/>
      <c r="L56" s="1">
        <f t="shared" si="11"/>
        <v>0</v>
      </c>
      <c r="M56" s="1"/>
      <c r="N56" s="105">
        <f t="shared" si="12"/>
        <v>0</v>
      </c>
      <c r="O56" s="1"/>
      <c r="P56" s="1">
        <f t="shared" si="13"/>
        <v>0</v>
      </c>
      <c r="Q56" s="1">
        <f t="shared" si="14"/>
        <v>0</v>
      </c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H56" s="159">
        <f t="shared" si="16"/>
        <v>0</v>
      </c>
      <c r="EJ56" s="39">
        <f t="shared" si="17"/>
        <v>0</v>
      </c>
      <c r="EK56" s="39">
        <f t="shared" si="18"/>
        <v>0</v>
      </c>
      <c r="EL56" s="39">
        <f t="shared" si="19"/>
        <v>0</v>
      </c>
      <c r="EM56" s="39">
        <f t="shared" si="20"/>
        <v>0</v>
      </c>
      <c r="EN56" s="39">
        <f t="shared" si="21"/>
        <v>0</v>
      </c>
      <c r="EO56" s="39">
        <f t="shared" si="22"/>
        <v>0</v>
      </c>
    </row>
    <row r="57" spans="2:145" ht="14.25" customHeight="1" x14ac:dyDescent="0.3">
      <c r="B57" s="3">
        <f t="shared" si="15"/>
        <v>0.52083333333333492</v>
      </c>
      <c r="D57" s="1">
        <f>'User Interface'!$E$14*1000*'Optimization Results'!D57</f>
        <v>0</v>
      </c>
      <c r="E57" s="1">
        <f>'User Interface'!$E$20*1000*'Optimization Results'!E57</f>
        <v>0</v>
      </c>
      <c r="F57" s="1">
        <f>'User Interface'!$E$20*1000*'Optimization Results'!F57</f>
        <v>0</v>
      </c>
      <c r="G57" s="1">
        <f>'User Interface'!$E$29*1000*'Optimization Results'!G57</f>
        <v>0</v>
      </c>
      <c r="H57" s="1">
        <f>'User Interface'!$E$35*1000*'Optimization Results'!H57</f>
        <v>0</v>
      </c>
      <c r="I57" s="1">
        <f>'User Interface'!$E$39*1000*'Optimization Results'!I57</f>
        <v>0</v>
      </c>
      <c r="J57">
        <v>0</v>
      </c>
      <c r="K57" s="1"/>
      <c r="L57" s="1">
        <f t="shared" si="11"/>
        <v>0</v>
      </c>
      <c r="M57" s="1"/>
      <c r="N57" s="105">
        <f t="shared" si="12"/>
        <v>0</v>
      </c>
      <c r="O57" s="1"/>
      <c r="P57" s="1">
        <f t="shared" si="13"/>
        <v>0</v>
      </c>
      <c r="Q57" s="1">
        <f t="shared" si="14"/>
        <v>0</v>
      </c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H57" s="159">
        <f t="shared" si="16"/>
        <v>0</v>
      </c>
      <c r="EJ57" s="39">
        <f t="shared" si="17"/>
        <v>0</v>
      </c>
      <c r="EK57" s="39">
        <f t="shared" si="18"/>
        <v>0</v>
      </c>
      <c r="EL57" s="39">
        <f t="shared" si="19"/>
        <v>0</v>
      </c>
      <c r="EM57" s="39">
        <f t="shared" si="20"/>
        <v>0</v>
      </c>
      <c r="EN57" s="39">
        <f t="shared" si="21"/>
        <v>0</v>
      </c>
      <c r="EO57" s="39">
        <f t="shared" si="22"/>
        <v>0</v>
      </c>
    </row>
    <row r="58" spans="2:145" ht="14.25" customHeight="1" x14ac:dyDescent="0.3">
      <c r="B58" s="3">
        <f t="shared" si="15"/>
        <v>0.53125000000000167</v>
      </c>
      <c r="D58" s="1">
        <f>'User Interface'!$E$14*1000*'Optimization Results'!D58</f>
        <v>0</v>
      </c>
      <c r="E58" s="1">
        <f>'User Interface'!$E$20*1000*'Optimization Results'!E58</f>
        <v>0</v>
      </c>
      <c r="F58" s="1">
        <f>'User Interface'!$E$20*1000*'Optimization Results'!F58</f>
        <v>0</v>
      </c>
      <c r="G58" s="1">
        <f>'User Interface'!$E$29*1000*'Optimization Results'!G58</f>
        <v>0</v>
      </c>
      <c r="H58" s="1">
        <f>'User Interface'!$E$35*1000*'Optimization Results'!H58</f>
        <v>0</v>
      </c>
      <c r="I58" s="1">
        <f>'User Interface'!$E$39*1000*'Optimization Results'!I58</f>
        <v>0</v>
      </c>
      <c r="J58">
        <v>0</v>
      </c>
      <c r="K58" s="1"/>
      <c r="L58" s="1">
        <f t="shared" si="11"/>
        <v>0</v>
      </c>
      <c r="M58" s="1"/>
      <c r="N58" s="105">
        <f t="shared" si="12"/>
        <v>0</v>
      </c>
      <c r="O58" s="1"/>
      <c r="P58" s="1">
        <f t="shared" si="13"/>
        <v>0</v>
      </c>
      <c r="Q58" s="1">
        <f t="shared" si="14"/>
        <v>0</v>
      </c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H58" s="159">
        <f t="shared" si="16"/>
        <v>0</v>
      </c>
      <c r="EJ58" s="39">
        <f t="shared" si="17"/>
        <v>0</v>
      </c>
      <c r="EK58" s="39">
        <f t="shared" si="18"/>
        <v>0</v>
      </c>
      <c r="EL58" s="39">
        <f t="shared" si="19"/>
        <v>0</v>
      </c>
      <c r="EM58" s="39">
        <f t="shared" si="20"/>
        <v>0</v>
      </c>
      <c r="EN58" s="39">
        <f t="shared" si="21"/>
        <v>0</v>
      </c>
      <c r="EO58" s="39">
        <f t="shared" si="22"/>
        <v>0</v>
      </c>
    </row>
    <row r="59" spans="2:145" ht="14.25" customHeight="1" x14ac:dyDescent="0.3">
      <c r="B59" s="3">
        <f t="shared" si="15"/>
        <v>0.54166666666666841</v>
      </c>
      <c r="D59" s="1">
        <f>'User Interface'!$E$14*1000*'Optimization Results'!D59</f>
        <v>0</v>
      </c>
      <c r="E59" s="1">
        <f>'User Interface'!$E$20*1000*'Optimization Results'!E59</f>
        <v>0</v>
      </c>
      <c r="F59" s="1">
        <f>'User Interface'!$E$20*1000*'Optimization Results'!F59</f>
        <v>0</v>
      </c>
      <c r="G59" s="1">
        <f>'User Interface'!$E$29*1000*'Optimization Results'!G59</f>
        <v>0</v>
      </c>
      <c r="H59" s="1">
        <f>'User Interface'!$E$35*1000*'Optimization Results'!H59</f>
        <v>0</v>
      </c>
      <c r="I59" s="1">
        <f>'User Interface'!$E$39*1000*'Optimization Results'!I59</f>
        <v>0</v>
      </c>
      <c r="J59">
        <v>0</v>
      </c>
      <c r="K59" s="1"/>
      <c r="L59" s="1">
        <f>SUM(D59:J59)</f>
        <v>0</v>
      </c>
      <c r="M59" s="1"/>
      <c r="N59" s="105">
        <f t="shared" si="12"/>
        <v>0</v>
      </c>
      <c r="O59" s="1"/>
      <c r="P59" s="1">
        <f t="shared" si="13"/>
        <v>0</v>
      </c>
      <c r="Q59" s="1">
        <f t="shared" si="14"/>
        <v>0</v>
      </c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H59" s="159">
        <f t="shared" si="16"/>
        <v>0</v>
      </c>
      <c r="EJ59" s="39">
        <f t="shared" si="17"/>
        <v>0</v>
      </c>
      <c r="EK59" s="39">
        <f t="shared" si="18"/>
        <v>0</v>
      </c>
      <c r="EL59" s="39">
        <f t="shared" si="19"/>
        <v>0</v>
      </c>
      <c r="EM59" s="39">
        <f t="shared" si="20"/>
        <v>0</v>
      </c>
      <c r="EN59" s="39">
        <f t="shared" si="21"/>
        <v>0</v>
      </c>
      <c r="EO59" s="39">
        <f t="shared" si="22"/>
        <v>0</v>
      </c>
    </row>
    <row r="60" spans="2:145" ht="14.25" customHeight="1" x14ac:dyDescent="0.3">
      <c r="B60" s="3">
        <f t="shared" si="15"/>
        <v>0.55208333333333515</v>
      </c>
      <c r="D60" s="1">
        <f>'User Interface'!$E$14*1000*'Optimization Results'!D60</f>
        <v>0</v>
      </c>
      <c r="E60" s="1">
        <f>'User Interface'!$E$20*1000*'Optimization Results'!E60</f>
        <v>0</v>
      </c>
      <c r="F60" s="1">
        <f>'User Interface'!$E$20*1000*'Optimization Results'!F60</f>
        <v>0</v>
      </c>
      <c r="G60" s="1">
        <f>'User Interface'!$E$29*1000*'Optimization Results'!G60</f>
        <v>0</v>
      </c>
      <c r="H60" s="1">
        <f>'User Interface'!$E$35*1000*'Optimization Results'!H60</f>
        <v>0</v>
      </c>
      <c r="I60" s="1">
        <f>'User Interface'!$E$39*1000*'Optimization Results'!I60</f>
        <v>0</v>
      </c>
      <c r="J60">
        <v>0</v>
      </c>
      <c r="K60" s="1"/>
      <c r="L60" s="1">
        <f t="shared" si="11"/>
        <v>0</v>
      </c>
      <c r="M60" s="1"/>
      <c r="N60" s="105">
        <f t="shared" si="12"/>
        <v>0</v>
      </c>
      <c r="O60" s="1"/>
      <c r="P60" s="1">
        <f t="shared" si="13"/>
        <v>0</v>
      </c>
      <c r="Q60" s="1">
        <f t="shared" si="14"/>
        <v>0</v>
      </c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H60" s="159">
        <f t="shared" si="16"/>
        <v>0</v>
      </c>
      <c r="EJ60" s="39">
        <f t="shared" si="17"/>
        <v>0</v>
      </c>
      <c r="EK60" s="39">
        <f t="shared" si="18"/>
        <v>0</v>
      </c>
      <c r="EL60" s="39">
        <f t="shared" si="19"/>
        <v>0</v>
      </c>
      <c r="EM60" s="39">
        <f t="shared" si="20"/>
        <v>0</v>
      </c>
      <c r="EN60" s="39">
        <f t="shared" si="21"/>
        <v>0</v>
      </c>
      <c r="EO60" s="39">
        <f t="shared" si="22"/>
        <v>0</v>
      </c>
    </row>
    <row r="61" spans="2:145" ht="14.25" customHeight="1" x14ac:dyDescent="0.3">
      <c r="B61" s="3">
        <f t="shared" si="15"/>
        <v>0.56250000000000189</v>
      </c>
      <c r="D61" s="1">
        <f>'User Interface'!$E$14*1000*'Optimization Results'!D61</f>
        <v>0</v>
      </c>
      <c r="E61" s="1">
        <f>'User Interface'!$E$20*1000*'Optimization Results'!E61</f>
        <v>0</v>
      </c>
      <c r="F61" s="1">
        <f>'User Interface'!$E$20*1000*'Optimization Results'!F61</f>
        <v>0</v>
      </c>
      <c r="G61" s="1">
        <f>'User Interface'!$E$29*1000*'Optimization Results'!G61</f>
        <v>0</v>
      </c>
      <c r="H61" s="1">
        <f>'User Interface'!$E$35*1000*'Optimization Results'!H61</f>
        <v>0</v>
      </c>
      <c r="I61" s="1">
        <f>'User Interface'!$E$39*1000*'Optimization Results'!I61</f>
        <v>0</v>
      </c>
      <c r="J61">
        <v>0</v>
      </c>
      <c r="K61" s="1"/>
      <c r="L61" s="1">
        <f t="shared" si="11"/>
        <v>0</v>
      </c>
      <c r="M61" s="1"/>
      <c r="N61" s="105">
        <f t="shared" si="12"/>
        <v>0</v>
      </c>
      <c r="O61" s="1"/>
      <c r="P61" s="1">
        <f t="shared" si="13"/>
        <v>0</v>
      </c>
      <c r="Q61" s="1">
        <f t="shared" si="14"/>
        <v>0</v>
      </c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H61" s="159">
        <f t="shared" si="16"/>
        <v>0</v>
      </c>
      <c r="EJ61" s="39">
        <f t="shared" si="17"/>
        <v>0</v>
      </c>
      <c r="EK61" s="39">
        <f t="shared" si="18"/>
        <v>0</v>
      </c>
      <c r="EL61" s="39">
        <f t="shared" si="19"/>
        <v>0</v>
      </c>
      <c r="EM61" s="39">
        <f t="shared" si="20"/>
        <v>0</v>
      </c>
      <c r="EN61" s="39">
        <f t="shared" si="21"/>
        <v>0</v>
      </c>
      <c r="EO61" s="39">
        <f t="shared" si="22"/>
        <v>0</v>
      </c>
    </row>
    <row r="62" spans="2:145" ht="14.25" customHeight="1" x14ac:dyDescent="0.3">
      <c r="B62" s="3">
        <f t="shared" si="15"/>
        <v>0.57291666666666863</v>
      </c>
      <c r="D62" s="1">
        <f>'User Interface'!$E$14*1000*'Optimization Results'!D62</f>
        <v>0</v>
      </c>
      <c r="E62" s="1">
        <f>'User Interface'!$E$20*1000*'Optimization Results'!E62</f>
        <v>0</v>
      </c>
      <c r="F62" s="1">
        <f>'User Interface'!$E$20*1000*'Optimization Results'!F62</f>
        <v>0</v>
      </c>
      <c r="G62" s="1">
        <f>'User Interface'!$E$29*1000*'Optimization Results'!G62</f>
        <v>0</v>
      </c>
      <c r="H62" s="1">
        <f>'User Interface'!$E$35*1000*'Optimization Results'!H62</f>
        <v>0</v>
      </c>
      <c r="I62" s="1">
        <f>'User Interface'!$E$39*1000*'Optimization Results'!I62</f>
        <v>0</v>
      </c>
      <c r="J62">
        <v>0</v>
      </c>
      <c r="K62" s="1"/>
      <c r="L62" s="1">
        <f t="shared" si="11"/>
        <v>0</v>
      </c>
      <c r="M62" s="1"/>
      <c r="N62" s="105">
        <f t="shared" si="12"/>
        <v>0</v>
      </c>
      <c r="O62" s="1"/>
      <c r="P62" s="1">
        <f t="shared" si="13"/>
        <v>0</v>
      </c>
      <c r="Q62" s="1">
        <f t="shared" si="14"/>
        <v>0</v>
      </c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H62" s="159">
        <f t="shared" si="16"/>
        <v>0</v>
      </c>
      <c r="EJ62" s="39">
        <f t="shared" si="17"/>
        <v>0</v>
      </c>
      <c r="EK62" s="39">
        <f t="shared" si="18"/>
        <v>0</v>
      </c>
      <c r="EL62" s="39">
        <f t="shared" si="19"/>
        <v>0</v>
      </c>
      <c r="EM62" s="39">
        <f t="shared" si="20"/>
        <v>0</v>
      </c>
      <c r="EN62" s="39">
        <f t="shared" si="21"/>
        <v>0</v>
      </c>
      <c r="EO62" s="39">
        <f t="shared" si="22"/>
        <v>0</v>
      </c>
    </row>
    <row r="63" spans="2:145" ht="14.25" customHeight="1" x14ac:dyDescent="0.3">
      <c r="B63" s="3">
        <f t="shared" si="15"/>
        <v>0.58333333333333537</v>
      </c>
      <c r="D63" s="1">
        <f>'User Interface'!$E$14*1000*'Optimization Results'!D63</f>
        <v>0</v>
      </c>
      <c r="E63" s="1">
        <f>'User Interface'!$E$20*1000*'Optimization Results'!E63</f>
        <v>0</v>
      </c>
      <c r="F63" s="1">
        <f>'User Interface'!$E$20*1000*'Optimization Results'!F63</f>
        <v>0</v>
      </c>
      <c r="G63" s="1">
        <f>'User Interface'!$E$29*1000*'Optimization Results'!G63</f>
        <v>0</v>
      </c>
      <c r="H63" s="1">
        <f>'User Interface'!$E$35*1000*'Optimization Results'!H63</f>
        <v>0</v>
      </c>
      <c r="I63" s="1">
        <f>'User Interface'!$E$39*1000*'Optimization Results'!I63</f>
        <v>0</v>
      </c>
      <c r="J63">
        <v>0</v>
      </c>
      <c r="K63" s="1"/>
      <c r="L63" s="1">
        <f t="shared" si="11"/>
        <v>0</v>
      </c>
      <c r="M63" s="1"/>
      <c r="N63" s="105">
        <f t="shared" si="12"/>
        <v>0</v>
      </c>
      <c r="O63" s="1"/>
      <c r="P63" s="1">
        <f t="shared" si="13"/>
        <v>0</v>
      </c>
      <c r="Q63" s="1">
        <f t="shared" si="14"/>
        <v>0</v>
      </c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H63" s="159">
        <f t="shared" si="16"/>
        <v>0</v>
      </c>
      <c r="EJ63" s="39">
        <f t="shared" si="17"/>
        <v>0</v>
      </c>
      <c r="EK63" s="39">
        <f t="shared" si="18"/>
        <v>0</v>
      </c>
      <c r="EL63" s="39">
        <f t="shared" si="19"/>
        <v>0</v>
      </c>
      <c r="EM63" s="39">
        <f t="shared" si="20"/>
        <v>0</v>
      </c>
      <c r="EN63" s="39">
        <f t="shared" si="21"/>
        <v>0</v>
      </c>
      <c r="EO63" s="39">
        <f t="shared" si="22"/>
        <v>0</v>
      </c>
    </row>
    <row r="64" spans="2:145" ht="14.25" customHeight="1" x14ac:dyDescent="0.3">
      <c r="B64" s="3">
        <f t="shared" si="15"/>
        <v>0.59375000000000211</v>
      </c>
      <c r="D64" s="1">
        <f>'User Interface'!$E$14*1000*'Optimization Results'!D64</f>
        <v>0</v>
      </c>
      <c r="E64" s="1">
        <f>'User Interface'!$E$20*1000*'Optimization Results'!E64</f>
        <v>0</v>
      </c>
      <c r="F64" s="1">
        <f>'User Interface'!$E$20*1000*'Optimization Results'!F64</f>
        <v>0</v>
      </c>
      <c r="G64" s="1">
        <f>'User Interface'!$E$29*1000*'Optimization Results'!G64</f>
        <v>0</v>
      </c>
      <c r="H64" s="1">
        <f>'User Interface'!$E$35*1000*'Optimization Results'!H64</f>
        <v>0</v>
      </c>
      <c r="I64" s="1">
        <f>'User Interface'!$E$39*1000*'Optimization Results'!I64</f>
        <v>0</v>
      </c>
      <c r="J64">
        <v>0</v>
      </c>
      <c r="K64" s="1"/>
      <c r="L64" s="1">
        <f t="shared" si="11"/>
        <v>0</v>
      </c>
      <c r="M64" s="1"/>
      <c r="N64" s="105">
        <f t="shared" si="12"/>
        <v>0</v>
      </c>
      <c r="O64" s="1"/>
      <c r="P64" s="1">
        <f t="shared" si="13"/>
        <v>0</v>
      </c>
      <c r="Q64" s="1">
        <f t="shared" si="14"/>
        <v>0</v>
      </c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H64" s="159">
        <f t="shared" si="16"/>
        <v>0</v>
      </c>
      <c r="EJ64" s="39">
        <f t="shared" si="17"/>
        <v>0</v>
      </c>
      <c r="EK64" s="39">
        <f t="shared" si="18"/>
        <v>0</v>
      </c>
      <c r="EL64" s="39">
        <f t="shared" si="19"/>
        <v>0</v>
      </c>
      <c r="EM64" s="39">
        <f t="shared" si="20"/>
        <v>0</v>
      </c>
      <c r="EN64" s="39">
        <f t="shared" si="21"/>
        <v>0</v>
      </c>
      <c r="EO64" s="39">
        <f t="shared" si="22"/>
        <v>0</v>
      </c>
    </row>
    <row r="65" spans="2:145" ht="14.25" customHeight="1" x14ac:dyDescent="0.3">
      <c r="B65" s="3">
        <f t="shared" si="15"/>
        <v>0.60416666666666885</v>
      </c>
      <c r="D65" s="1">
        <f>'User Interface'!$E$14*1000*'Optimization Results'!D65</f>
        <v>0</v>
      </c>
      <c r="E65" s="1">
        <f>'User Interface'!$E$20*1000*'Optimization Results'!E65</f>
        <v>0</v>
      </c>
      <c r="F65" s="1">
        <f>'User Interface'!$E$20*1000*'Optimization Results'!F65</f>
        <v>0</v>
      </c>
      <c r="G65" s="1">
        <f>'User Interface'!$E$29*1000*'Optimization Results'!G65</f>
        <v>0</v>
      </c>
      <c r="H65" s="1">
        <f>'User Interface'!$E$35*1000*'Optimization Results'!H65</f>
        <v>0</v>
      </c>
      <c r="I65" s="1">
        <f>'User Interface'!$E$39*1000*'Optimization Results'!I65</f>
        <v>0</v>
      </c>
      <c r="J65">
        <v>0</v>
      </c>
      <c r="K65" s="1"/>
      <c r="L65" s="1">
        <f t="shared" si="11"/>
        <v>0</v>
      </c>
      <c r="M65" s="1"/>
      <c r="N65" s="105">
        <f t="shared" si="12"/>
        <v>0</v>
      </c>
      <c r="O65" s="1"/>
      <c r="P65" s="1">
        <f t="shared" si="13"/>
        <v>0</v>
      </c>
      <c r="Q65" s="1">
        <f t="shared" si="14"/>
        <v>0</v>
      </c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H65" s="159">
        <f t="shared" si="16"/>
        <v>0</v>
      </c>
      <c r="EJ65" s="39">
        <f t="shared" si="17"/>
        <v>0</v>
      </c>
      <c r="EK65" s="39">
        <f t="shared" si="18"/>
        <v>0</v>
      </c>
      <c r="EL65" s="39">
        <f t="shared" si="19"/>
        <v>0</v>
      </c>
      <c r="EM65" s="39">
        <f t="shared" si="20"/>
        <v>0</v>
      </c>
      <c r="EN65" s="39">
        <f t="shared" si="21"/>
        <v>0</v>
      </c>
      <c r="EO65" s="39">
        <f t="shared" si="22"/>
        <v>0</v>
      </c>
    </row>
    <row r="66" spans="2:145" ht="14.25" customHeight="1" x14ac:dyDescent="0.3">
      <c r="B66" s="3">
        <f t="shared" si="15"/>
        <v>0.61458333333333559</v>
      </c>
      <c r="D66" s="1">
        <f>'User Interface'!$E$14*1000*'Optimization Results'!D66</f>
        <v>0</v>
      </c>
      <c r="E66" s="1">
        <f>'User Interface'!$E$20*1000*'Optimization Results'!E66</f>
        <v>0</v>
      </c>
      <c r="F66" s="1">
        <f>'User Interface'!$E$20*1000*'Optimization Results'!F66</f>
        <v>0</v>
      </c>
      <c r="G66" s="1">
        <f>'User Interface'!$E$29*1000*'Optimization Results'!G66</f>
        <v>0</v>
      </c>
      <c r="H66" s="1">
        <f>'User Interface'!$E$35*1000*'Optimization Results'!H66</f>
        <v>0</v>
      </c>
      <c r="I66" s="1">
        <f>'User Interface'!$E$39*1000*'Optimization Results'!I66</f>
        <v>0</v>
      </c>
      <c r="J66">
        <v>0</v>
      </c>
      <c r="K66" s="1"/>
      <c r="L66" s="1">
        <f t="shared" si="11"/>
        <v>0</v>
      </c>
      <c r="M66" s="1"/>
      <c r="N66" s="105">
        <f t="shared" si="12"/>
        <v>0</v>
      </c>
      <c r="O66" s="1"/>
      <c r="P66" s="1">
        <f t="shared" si="13"/>
        <v>0</v>
      </c>
      <c r="Q66" s="1">
        <f t="shared" si="14"/>
        <v>0</v>
      </c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H66" s="159">
        <f t="shared" si="16"/>
        <v>0</v>
      </c>
      <c r="EJ66" s="39">
        <f t="shared" si="17"/>
        <v>0</v>
      </c>
      <c r="EK66" s="39">
        <f t="shared" si="18"/>
        <v>0</v>
      </c>
      <c r="EL66" s="39">
        <f t="shared" si="19"/>
        <v>0</v>
      </c>
      <c r="EM66" s="39">
        <f t="shared" si="20"/>
        <v>0</v>
      </c>
      <c r="EN66" s="39">
        <f t="shared" si="21"/>
        <v>0</v>
      </c>
      <c r="EO66" s="39">
        <f t="shared" si="22"/>
        <v>0</v>
      </c>
    </row>
    <row r="67" spans="2:145" ht="14.25" customHeight="1" x14ac:dyDescent="0.3">
      <c r="B67" s="3">
        <f t="shared" si="15"/>
        <v>0.62500000000000233</v>
      </c>
      <c r="D67" s="1">
        <f>'User Interface'!$E$14*1000*'Optimization Results'!D67</f>
        <v>0</v>
      </c>
      <c r="E67" s="1">
        <f>'User Interface'!$E$20*1000*'Optimization Results'!E67</f>
        <v>0</v>
      </c>
      <c r="F67" s="1">
        <f>'User Interface'!$E$20*1000*'Optimization Results'!F67</f>
        <v>0</v>
      </c>
      <c r="G67" s="1">
        <f>'User Interface'!$E$29*1000*'Optimization Results'!G67</f>
        <v>0</v>
      </c>
      <c r="H67" s="1">
        <f>'User Interface'!$E$35*1000*'Optimization Results'!H67</f>
        <v>0</v>
      </c>
      <c r="I67" s="1">
        <f>'User Interface'!$E$39*1000*'Optimization Results'!I67</f>
        <v>0</v>
      </c>
      <c r="J67">
        <v>0</v>
      </c>
      <c r="K67" s="1"/>
      <c r="L67" s="1">
        <f t="shared" si="11"/>
        <v>0</v>
      </c>
      <c r="M67" s="1"/>
      <c r="N67" s="105">
        <f t="shared" si="12"/>
        <v>0</v>
      </c>
      <c r="O67" s="1"/>
      <c r="P67" s="1">
        <f t="shared" si="13"/>
        <v>0</v>
      </c>
      <c r="Q67" s="1">
        <f t="shared" si="14"/>
        <v>0</v>
      </c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H67" s="159">
        <f t="shared" si="16"/>
        <v>0</v>
      </c>
      <c r="EJ67" s="39">
        <f t="shared" si="17"/>
        <v>0</v>
      </c>
      <c r="EK67" s="39">
        <f t="shared" si="18"/>
        <v>0</v>
      </c>
      <c r="EL67" s="39">
        <f t="shared" si="19"/>
        <v>0</v>
      </c>
      <c r="EM67" s="39">
        <f t="shared" si="20"/>
        <v>0</v>
      </c>
      <c r="EN67" s="39">
        <f t="shared" si="21"/>
        <v>0</v>
      </c>
      <c r="EO67" s="39">
        <f t="shared" si="22"/>
        <v>0</v>
      </c>
    </row>
    <row r="68" spans="2:145" ht="14.25" customHeight="1" x14ac:dyDescent="0.3">
      <c r="B68" s="3">
        <f t="shared" si="15"/>
        <v>0.63541666666666907</v>
      </c>
      <c r="D68" s="1">
        <f>'User Interface'!$E$14*1000*'Optimization Results'!D68</f>
        <v>0</v>
      </c>
      <c r="E68" s="1">
        <f>'User Interface'!$E$20*1000*'Optimization Results'!E68</f>
        <v>0</v>
      </c>
      <c r="F68" s="1">
        <f>'User Interface'!$E$20*1000*'Optimization Results'!F68</f>
        <v>0</v>
      </c>
      <c r="G68" s="1">
        <f>'User Interface'!$E$29*1000*'Optimization Results'!G68</f>
        <v>0</v>
      </c>
      <c r="H68" s="1">
        <f>'User Interface'!$E$35*1000*'Optimization Results'!H68</f>
        <v>0</v>
      </c>
      <c r="I68" s="1">
        <f>'User Interface'!$E$39*1000*'Optimization Results'!I68</f>
        <v>0</v>
      </c>
      <c r="J68">
        <v>0</v>
      </c>
      <c r="K68" s="1"/>
      <c r="L68" s="1">
        <f t="shared" si="11"/>
        <v>0</v>
      </c>
      <c r="M68" s="1"/>
      <c r="N68" s="105">
        <f t="shared" si="12"/>
        <v>0</v>
      </c>
      <c r="O68" s="1"/>
      <c r="P68" s="1">
        <f t="shared" si="13"/>
        <v>0</v>
      </c>
      <c r="Q68" s="1">
        <f t="shared" si="14"/>
        <v>0</v>
      </c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H68" s="159">
        <f t="shared" si="16"/>
        <v>0</v>
      </c>
      <c r="EJ68" s="39">
        <f t="shared" si="17"/>
        <v>0</v>
      </c>
      <c r="EK68" s="39">
        <f t="shared" si="18"/>
        <v>0</v>
      </c>
      <c r="EL68" s="39">
        <f t="shared" si="19"/>
        <v>0</v>
      </c>
      <c r="EM68" s="39">
        <f t="shared" si="20"/>
        <v>0</v>
      </c>
      <c r="EN68" s="39">
        <f t="shared" si="21"/>
        <v>0</v>
      </c>
      <c r="EO68" s="39">
        <f t="shared" si="22"/>
        <v>0</v>
      </c>
    </row>
    <row r="69" spans="2:145" ht="14.25" customHeight="1" x14ac:dyDescent="0.3">
      <c r="B69" s="3">
        <f t="shared" si="15"/>
        <v>0.64583333333333581</v>
      </c>
      <c r="D69" s="1">
        <f>'User Interface'!$E$14*1000*'Optimization Results'!D69</f>
        <v>0</v>
      </c>
      <c r="E69" s="1">
        <f>'User Interface'!$E$20*1000*'Optimization Results'!E69</f>
        <v>0</v>
      </c>
      <c r="F69" s="1">
        <f>'User Interface'!$E$20*1000*'Optimization Results'!F69</f>
        <v>0</v>
      </c>
      <c r="G69" s="1">
        <f>'User Interface'!$E$29*1000*'Optimization Results'!G69</f>
        <v>0</v>
      </c>
      <c r="H69" s="1">
        <f>'User Interface'!$E$35*1000*'Optimization Results'!H69</f>
        <v>0</v>
      </c>
      <c r="I69" s="1">
        <f>'User Interface'!$E$39*1000*'Optimization Results'!I69</f>
        <v>0</v>
      </c>
      <c r="J69">
        <v>0</v>
      </c>
      <c r="K69" s="1"/>
      <c r="L69" s="1">
        <f t="shared" si="11"/>
        <v>0</v>
      </c>
      <c r="M69" s="1"/>
      <c r="N69" s="105">
        <f t="shared" si="12"/>
        <v>0</v>
      </c>
      <c r="O69" s="1"/>
      <c r="P69" s="1">
        <f t="shared" si="13"/>
        <v>0</v>
      </c>
      <c r="Q69" s="1">
        <f t="shared" si="14"/>
        <v>0</v>
      </c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H69" s="159">
        <f t="shared" si="16"/>
        <v>0</v>
      </c>
      <c r="EJ69" s="39">
        <f t="shared" si="17"/>
        <v>0</v>
      </c>
      <c r="EK69" s="39">
        <f t="shared" si="18"/>
        <v>0</v>
      </c>
      <c r="EL69" s="39">
        <f t="shared" si="19"/>
        <v>0</v>
      </c>
      <c r="EM69" s="39">
        <f t="shared" si="20"/>
        <v>0</v>
      </c>
      <c r="EN69" s="39">
        <f t="shared" si="21"/>
        <v>0</v>
      </c>
      <c r="EO69" s="39">
        <f t="shared" si="22"/>
        <v>0</v>
      </c>
    </row>
    <row r="70" spans="2:145" ht="14.25" customHeight="1" x14ac:dyDescent="0.3">
      <c r="B70" s="3">
        <f t="shared" si="15"/>
        <v>0.65625000000000255</v>
      </c>
      <c r="D70" s="1">
        <f>'User Interface'!$E$14*1000*'Optimization Results'!D70</f>
        <v>0</v>
      </c>
      <c r="E70" s="1">
        <f>'User Interface'!$E$20*1000*'Optimization Results'!E70</f>
        <v>0</v>
      </c>
      <c r="F70" s="1">
        <f>'User Interface'!$E$20*1000*'Optimization Results'!F70</f>
        <v>0</v>
      </c>
      <c r="G70" s="1">
        <f>'User Interface'!$E$29*1000*'Optimization Results'!G70</f>
        <v>0</v>
      </c>
      <c r="H70" s="1">
        <f>'User Interface'!$E$35*1000*'Optimization Results'!H70</f>
        <v>0</v>
      </c>
      <c r="I70" s="1">
        <f>'User Interface'!$E$39*1000*'Optimization Results'!I70</f>
        <v>0</v>
      </c>
      <c r="J70">
        <v>0</v>
      </c>
      <c r="K70" s="1"/>
      <c r="L70" s="1">
        <f t="shared" si="11"/>
        <v>0</v>
      </c>
      <c r="M70" s="1"/>
      <c r="N70" s="105">
        <f t="shared" si="12"/>
        <v>0</v>
      </c>
      <c r="O70" s="1"/>
      <c r="P70" s="1">
        <f t="shared" si="13"/>
        <v>0</v>
      </c>
      <c r="Q70" s="1">
        <f t="shared" si="14"/>
        <v>0</v>
      </c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H70" s="159">
        <f t="shared" si="16"/>
        <v>0</v>
      </c>
      <c r="EJ70" s="39">
        <f t="shared" si="17"/>
        <v>0</v>
      </c>
      <c r="EK70" s="39">
        <f t="shared" si="18"/>
        <v>0</v>
      </c>
      <c r="EL70" s="39">
        <f t="shared" si="19"/>
        <v>0</v>
      </c>
      <c r="EM70" s="39">
        <f t="shared" si="20"/>
        <v>0</v>
      </c>
      <c r="EN70" s="39">
        <f t="shared" si="21"/>
        <v>0</v>
      </c>
      <c r="EO70" s="39">
        <f t="shared" si="22"/>
        <v>0</v>
      </c>
    </row>
    <row r="71" spans="2:145" ht="14.25" customHeight="1" x14ac:dyDescent="0.3">
      <c r="B71" s="3">
        <f t="shared" si="15"/>
        <v>0.66666666666666929</v>
      </c>
      <c r="D71" s="1">
        <f>'User Interface'!$E$14*1000*'Optimization Results'!D71</f>
        <v>0</v>
      </c>
      <c r="E71" s="1">
        <f>'User Interface'!$E$20*1000*'Optimization Results'!E71</f>
        <v>0</v>
      </c>
      <c r="F71" s="1">
        <f>'User Interface'!$E$20*1000*'Optimization Results'!F71</f>
        <v>0</v>
      </c>
      <c r="G71" s="1">
        <f>'User Interface'!$E$29*1000*'Optimization Results'!G71</f>
        <v>0</v>
      </c>
      <c r="H71" s="1">
        <f>'User Interface'!$E$35*1000*'Optimization Results'!H71</f>
        <v>0</v>
      </c>
      <c r="I71" s="1">
        <f>'User Interface'!$E$39*1000*'Optimization Results'!I71</f>
        <v>0</v>
      </c>
      <c r="J71">
        <v>0</v>
      </c>
      <c r="K71" s="1"/>
      <c r="L71" s="1">
        <f t="shared" si="11"/>
        <v>0</v>
      </c>
      <c r="M71" s="1"/>
      <c r="N71" s="105">
        <f t="shared" si="12"/>
        <v>0</v>
      </c>
      <c r="O71" s="1"/>
      <c r="P71" s="1">
        <f t="shared" si="13"/>
        <v>0</v>
      </c>
      <c r="Q71" s="1">
        <f t="shared" si="14"/>
        <v>0</v>
      </c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H71" s="159">
        <f t="shared" si="16"/>
        <v>0</v>
      </c>
      <c r="EJ71" s="39">
        <f t="shared" ref="EJ71:EJ102" si="23">IF(D71&gt;0,D71,0)</f>
        <v>0</v>
      </c>
      <c r="EK71" s="39">
        <f t="shared" si="18"/>
        <v>0</v>
      </c>
      <c r="EL71" s="39">
        <f t="shared" si="19"/>
        <v>0</v>
      </c>
      <c r="EM71" s="39">
        <f t="shared" ref="EM71:EM102" si="24">IF(D71&lt;0,D71,0)</f>
        <v>0</v>
      </c>
      <c r="EN71" s="39">
        <f t="shared" si="21"/>
        <v>0</v>
      </c>
      <c r="EO71" s="39">
        <f t="shared" si="22"/>
        <v>0</v>
      </c>
    </row>
    <row r="72" spans="2:145" ht="14.25" customHeight="1" x14ac:dyDescent="0.3">
      <c r="B72" s="3">
        <f t="shared" si="15"/>
        <v>0.67708333333333603</v>
      </c>
      <c r="D72" s="1">
        <f>'User Interface'!$E$14*1000*'Optimization Results'!D72</f>
        <v>0</v>
      </c>
      <c r="E72" s="1">
        <f>'User Interface'!$E$20*1000*'Optimization Results'!E72</f>
        <v>0</v>
      </c>
      <c r="F72" s="1">
        <f>'User Interface'!$E$20*1000*'Optimization Results'!F72</f>
        <v>0</v>
      </c>
      <c r="G72" s="1">
        <f>'User Interface'!$E$29*1000*'Optimization Results'!G72</f>
        <v>0</v>
      </c>
      <c r="H72" s="1">
        <f>'User Interface'!$E$35*1000*'Optimization Results'!H72</f>
        <v>0</v>
      </c>
      <c r="I72" s="1">
        <f>'User Interface'!$E$39*1000*'Optimization Results'!I72</f>
        <v>0</v>
      </c>
      <c r="J72">
        <v>0</v>
      </c>
      <c r="K72" s="1"/>
      <c r="L72" s="1">
        <f t="shared" ref="L72:L102" si="25">SUM(D72:J72)</f>
        <v>0</v>
      </c>
      <c r="M72" s="1"/>
      <c r="N72" s="105">
        <f t="shared" ref="N72:N102" si="26">L72-P72</f>
        <v>0</v>
      </c>
      <c r="O72" s="1"/>
      <c r="P72" s="1">
        <f t="shared" ref="P72:P102" si="27" xml:space="preserve"> SUM(S72:BW72)</f>
        <v>0</v>
      </c>
      <c r="Q72" s="1">
        <f t="shared" ref="Q72:Q102" si="28">MAX(BY72:EC72)</f>
        <v>0</v>
      </c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H72" s="159">
        <f t="shared" ref="EH72:EH102" si="29">SUM(P72:Q72)</f>
        <v>0</v>
      </c>
      <c r="EJ72" s="39">
        <f t="shared" si="23"/>
        <v>0</v>
      </c>
      <c r="EK72" s="39">
        <f t="shared" ref="EK72:EK102" si="30">IF(F72&gt;0,F72,0)</f>
        <v>0</v>
      </c>
      <c r="EL72" s="39">
        <f t="shared" ref="EL72:EL86" si="31">IF(G72&gt;0,G72,0)</f>
        <v>0</v>
      </c>
      <c r="EM72" s="39">
        <f t="shared" si="24"/>
        <v>0</v>
      </c>
      <c r="EN72" s="39">
        <f t="shared" ref="EN72:EO102" si="32">IF(F72&lt;0,F72,0)</f>
        <v>0</v>
      </c>
      <c r="EO72" s="39">
        <f t="shared" si="32"/>
        <v>0</v>
      </c>
    </row>
    <row r="73" spans="2:145" ht="14.25" customHeight="1" x14ac:dyDescent="0.3">
      <c r="B73" s="3">
        <f t="shared" ref="B73:B102" si="33">B72+0.0104166666666667</f>
        <v>0.68750000000000278</v>
      </c>
      <c r="D73" s="1">
        <f>'User Interface'!$E$14*1000*'Optimization Results'!D73</f>
        <v>0</v>
      </c>
      <c r="E73" s="1">
        <f>'User Interface'!$E$20*1000*'Optimization Results'!E73</f>
        <v>0</v>
      </c>
      <c r="F73" s="1">
        <f>'User Interface'!$E$20*1000*'Optimization Results'!F73</f>
        <v>0</v>
      </c>
      <c r="G73" s="1">
        <f>'User Interface'!$E$29*1000*'Optimization Results'!G73</f>
        <v>0</v>
      </c>
      <c r="H73" s="1">
        <f>'User Interface'!$E$35*1000*'Optimization Results'!H73</f>
        <v>0</v>
      </c>
      <c r="I73" s="1">
        <f>'User Interface'!$E$39*1000*'Optimization Results'!I73</f>
        <v>0</v>
      </c>
      <c r="J73">
        <v>0</v>
      </c>
      <c r="K73" s="1"/>
      <c r="L73" s="1">
        <f t="shared" si="25"/>
        <v>0</v>
      </c>
      <c r="M73" s="1"/>
      <c r="N73" s="105">
        <f t="shared" si="26"/>
        <v>0</v>
      </c>
      <c r="O73" s="1"/>
      <c r="P73" s="1">
        <f t="shared" si="27"/>
        <v>0</v>
      </c>
      <c r="Q73" s="1">
        <f t="shared" si="28"/>
        <v>0</v>
      </c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H73" s="159">
        <f t="shared" si="29"/>
        <v>0</v>
      </c>
      <c r="EJ73" s="39">
        <f t="shared" si="23"/>
        <v>0</v>
      </c>
      <c r="EK73" s="39">
        <f t="shared" si="30"/>
        <v>0</v>
      </c>
      <c r="EL73" s="39">
        <f t="shared" si="31"/>
        <v>0</v>
      </c>
      <c r="EM73" s="39">
        <f t="shared" si="24"/>
        <v>0</v>
      </c>
      <c r="EN73" s="39">
        <f t="shared" si="32"/>
        <v>0</v>
      </c>
      <c r="EO73" s="39">
        <f t="shared" si="32"/>
        <v>0</v>
      </c>
    </row>
    <row r="74" spans="2:145" ht="14.25" customHeight="1" x14ac:dyDescent="0.3">
      <c r="B74" s="3">
        <f t="shared" si="33"/>
        <v>0.69791666666666952</v>
      </c>
      <c r="D74" s="1">
        <f>'User Interface'!$E$14*1000*'Optimization Results'!D74</f>
        <v>0</v>
      </c>
      <c r="E74" s="1">
        <f>'User Interface'!$E$20*1000*'Optimization Results'!E74</f>
        <v>0</v>
      </c>
      <c r="F74" s="1">
        <f>'User Interface'!$E$20*1000*'Optimization Results'!F74</f>
        <v>0</v>
      </c>
      <c r="G74" s="1">
        <f>'User Interface'!$E$29*1000*'Optimization Results'!G74</f>
        <v>0</v>
      </c>
      <c r="H74" s="1">
        <f>'User Interface'!$E$35*1000*'Optimization Results'!H74</f>
        <v>0</v>
      </c>
      <c r="I74" s="1">
        <f>'User Interface'!$E$39*1000*'Optimization Results'!I74</f>
        <v>0</v>
      </c>
      <c r="J74">
        <v>0</v>
      </c>
      <c r="K74" s="1"/>
      <c r="L74" s="1">
        <f t="shared" si="25"/>
        <v>0</v>
      </c>
      <c r="M74" s="1"/>
      <c r="N74" s="105">
        <f t="shared" si="26"/>
        <v>0</v>
      </c>
      <c r="O74" s="1"/>
      <c r="P74" s="1">
        <f t="shared" si="27"/>
        <v>0</v>
      </c>
      <c r="Q74" s="1">
        <f t="shared" si="28"/>
        <v>0</v>
      </c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H74" s="159">
        <f t="shared" si="29"/>
        <v>0</v>
      </c>
      <c r="EJ74" s="39">
        <f t="shared" si="23"/>
        <v>0</v>
      </c>
      <c r="EK74" s="39">
        <f t="shared" si="30"/>
        <v>0</v>
      </c>
      <c r="EL74" s="39">
        <f t="shared" si="31"/>
        <v>0</v>
      </c>
      <c r="EM74" s="39">
        <f t="shared" si="24"/>
        <v>0</v>
      </c>
      <c r="EN74" s="39">
        <f t="shared" si="32"/>
        <v>0</v>
      </c>
      <c r="EO74" s="39">
        <f t="shared" si="32"/>
        <v>0</v>
      </c>
    </row>
    <row r="75" spans="2:145" ht="14.25" customHeight="1" x14ac:dyDescent="0.3">
      <c r="B75" s="3">
        <f t="shared" si="33"/>
        <v>0.70833333333333626</v>
      </c>
      <c r="D75" s="1">
        <f>'User Interface'!$E$14*1000*'Optimization Results'!D75</f>
        <v>0</v>
      </c>
      <c r="E75" s="1">
        <f>'User Interface'!$E$20*1000*'Optimization Results'!E75</f>
        <v>0</v>
      </c>
      <c r="F75" s="1">
        <f>'User Interface'!$E$20*1000*'Optimization Results'!F75</f>
        <v>0</v>
      </c>
      <c r="G75" s="1">
        <f>'User Interface'!$E$29*1000*'Optimization Results'!G75</f>
        <v>0</v>
      </c>
      <c r="H75" s="1">
        <f>'User Interface'!$E$35*1000*'Optimization Results'!H75</f>
        <v>0</v>
      </c>
      <c r="I75" s="1">
        <f>'User Interface'!$E$39*1000*'Optimization Results'!I75</f>
        <v>0</v>
      </c>
      <c r="J75">
        <v>0</v>
      </c>
      <c r="K75" s="1"/>
      <c r="L75" s="1">
        <f t="shared" si="25"/>
        <v>0</v>
      </c>
      <c r="M75" s="1"/>
      <c r="N75" s="105">
        <f t="shared" si="26"/>
        <v>0</v>
      </c>
      <c r="O75" s="1"/>
      <c r="P75" s="1">
        <f t="shared" si="27"/>
        <v>0</v>
      </c>
      <c r="Q75" s="1">
        <f t="shared" si="28"/>
        <v>0</v>
      </c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H75" s="159">
        <f t="shared" si="29"/>
        <v>0</v>
      </c>
      <c r="EJ75" s="39">
        <f t="shared" si="23"/>
        <v>0</v>
      </c>
      <c r="EK75" s="39">
        <f t="shared" si="30"/>
        <v>0</v>
      </c>
      <c r="EL75" s="39">
        <f t="shared" si="31"/>
        <v>0</v>
      </c>
      <c r="EM75" s="39">
        <f t="shared" si="24"/>
        <v>0</v>
      </c>
      <c r="EN75" s="39">
        <f t="shared" si="32"/>
        <v>0</v>
      </c>
      <c r="EO75" s="39">
        <f t="shared" si="32"/>
        <v>0</v>
      </c>
    </row>
    <row r="76" spans="2:145" ht="14.25" customHeight="1" x14ac:dyDescent="0.3">
      <c r="B76" s="3">
        <f t="shared" si="33"/>
        <v>0.718750000000003</v>
      </c>
      <c r="D76" s="1">
        <f>'User Interface'!$E$14*1000*'Optimization Results'!D76</f>
        <v>0</v>
      </c>
      <c r="E76" s="1">
        <f>'User Interface'!$E$20*1000*'Optimization Results'!E76</f>
        <v>0</v>
      </c>
      <c r="F76" s="1">
        <f>'User Interface'!$E$20*1000*'Optimization Results'!F76</f>
        <v>0</v>
      </c>
      <c r="G76" s="1">
        <f>'User Interface'!$E$29*1000*'Optimization Results'!G76</f>
        <v>0</v>
      </c>
      <c r="H76" s="1">
        <f>'User Interface'!$E$35*1000*'Optimization Results'!H76</f>
        <v>0</v>
      </c>
      <c r="I76" s="1">
        <f>'User Interface'!$E$39*1000*'Optimization Results'!I76</f>
        <v>0</v>
      </c>
      <c r="J76">
        <v>0</v>
      </c>
      <c r="K76" s="1"/>
      <c r="L76" s="1">
        <f t="shared" si="25"/>
        <v>0</v>
      </c>
      <c r="M76" s="1"/>
      <c r="N76" s="105">
        <f t="shared" si="26"/>
        <v>0</v>
      </c>
      <c r="O76" s="1"/>
      <c r="P76" s="1">
        <f t="shared" si="27"/>
        <v>0</v>
      </c>
      <c r="Q76" s="1">
        <f t="shared" si="28"/>
        <v>0</v>
      </c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H76" s="159">
        <f t="shared" si="29"/>
        <v>0</v>
      </c>
      <c r="EJ76" s="39">
        <f t="shared" si="23"/>
        <v>0</v>
      </c>
      <c r="EK76" s="39">
        <f t="shared" si="30"/>
        <v>0</v>
      </c>
      <c r="EL76" s="39">
        <f t="shared" si="31"/>
        <v>0</v>
      </c>
      <c r="EM76" s="39">
        <f t="shared" si="24"/>
        <v>0</v>
      </c>
      <c r="EN76" s="39">
        <f t="shared" si="32"/>
        <v>0</v>
      </c>
      <c r="EO76" s="39">
        <f t="shared" si="32"/>
        <v>0</v>
      </c>
    </row>
    <row r="77" spans="2:145" ht="14.25" customHeight="1" x14ac:dyDescent="0.3">
      <c r="B77" s="3">
        <f t="shared" si="33"/>
        <v>0.72916666666666974</v>
      </c>
      <c r="D77" s="1">
        <f>'User Interface'!$E$14*1000*'Optimization Results'!D77</f>
        <v>0</v>
      </c>
      <c r="E77" s="1">
        <f>'User Interface'!$E$20*1000*'Optimization Results'!E77</f>
        <v>0</v>
      </c>
      <c r="F77" s="1">
        <f>'User Interface'!$E$20*1000*'Optimization Results'!F77</f>
        <v>0</v>
      </c>
      <c r="G77" s="1">
        <f>'User Interface'!$E$29*1000*'Optimization Results'!G77</f>
        <v>0</v>
      </c>
      <c r="H77" s="1">
        <f>'User Interface'!$E$35*1000*'Optimization Results'!H77</f>
        <v>0</v>
      </c>
      <c r="I77" s="1">
        <f>'User Interface'!$E$39*1000*'Optimization Results'!I77</f>
        <v>0</v>
      </c>
      <c r="J77">
        <v>0</v>
      </c>
      <c r="K77" s="1"/>
      <c r="L77" s="1">
        <f t="shared" si="25"/>
        <v>0</v>
      </c>
      <c r="M77" s="1"/>
      <c r="N77" s="105">
        <f t="shared" si="26"/>
        <v>0</v>
      </c>
      <c r="O77" s="1"/>
      <c r="P77" s="1">
        <f t="shared" si="27"/>
        <v>0</v>
      </c>
      <c r="Q77" s="1">
        <f t="shared" si="28"/>
        <v>0</v>
      </c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H77" s="159">
        <f t="shared" si="29"/>
        <v>0</v>
      </c>
      <c r="EJ77" s="39">
        <f t="shared" si="23"/>
        <v>0</v>
      </c>
      <c r="EK77" s="39">
        <f t="shared" si="30"/>
        <v>0</v>
      </c>
      <c r="EL77" s="39">
        <f t="shared" si="31"/>
        <v>0</v>
      </c>
      <c r="EM77" s="39">
        <f t="shared" si="24"/>
        <v>0</v>
      </c>
      <c r="EN77" s="39">
        <f t="shared" si="32"/>
        <v>0</v>
      </c>
      <c r="EO77" s="39">
        <f t="shared" si="32"/>
        <v>0</v>
      </c>
    </row>
    <row r="78" spans="2:145" ht="14.25" customHeight="1" x14ac:dyDescent="0.3">
      <c r="B78" s="3">
        <f t="shared" si="33"/>
        <v>0.73958333333333648</v>
      </c>
      <c r="D78" s="1">
        <f>'User Interface'!$E$14*1000*'Optimization Results'!D78</f>
        <v>0</v>
      </c>
      <c r="E78" s="1">
        <f>'User Interface'!$E$20*1000*'Optimization Results'!E78</f>
        <v>0</v>
      </c>
      <c r="F78" s="1">
        <f>'User Interface'!$E$20*1000*'Optimization Results'!F78</f>
        <v>0</v>
      </c>
      <c r="G78" s="1">
        <f>'User Interface'!$E$29*1000*'Optimization Results'!G78</f>
        <v>0</v>
      </c>
      <c r="H78" s="1">
        <f>'User Interface'!$E$35*1000*'Optimization Results'!H78</f>
        <v>0</v>
      </c>
      <c r="I78" s="1">
        <f>'User Interface'!$E$39*1000*'Optimization Results'!I78</f>
        <v>0</v>
      </c>
      <c r="J78">
        <v>0</v>
      </c>
      <c r="K78" s="1"/>
      <c r="L78" s="1">
        <f t="shared" si="25"/>
        <v>0</v>
      </c>
      <c r="M78" s="1"/>
      <c r="N78" s="105">
        <f t="shared" si="26"/>
        <v>0</v>
      </c>
      <c r="O78" s="1"/>
      <c r="P78" s="1">
        <f t="shared" si="27"/>
        <v>0</v>
      </c>
      <c r="Q78" s="1">
        <f t="shared" si="28"/>
        <v>0</v>
      </c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H78" s="159">
        <f t="shared" si="29"/>
        <v>0</v>
      </c>
      <c r="EJ78" s="39">
        <f t="shared" si="23"/>
        <v>0</v>
      </c>
      <c r="EK78" s="39">
        <f t="shared" si="30"/>
        <v>0</v>
      </c>
      <c r="EL78" s="39">
        <f t="shared" si="31"/>
        <v>0</v>
      </c>
      <c r="EM78" s="39">
        <f t="shared" si="24"/>
        <v>0</v>
      </c>
      <c r="EN78" s="39">
        <f t="shared" si="32"/>
        <v>0</v>
      </c>
      <c r="EO78" s="39">
        <f t="shared" si="32"/>
        <v>0</v>
      </c>
    </row>
    <row r="79" spans="2:145" ht="14.25" customHeight="1" x14ac:dyDescent="0.3">
      <c r="B79" s="3">
        <f t="shared" si="33"/>
        <v>0.75000000000000322</v>
      </c>
      <c r="D79" s="1">
        <f>'User Interface'!$E$14*1000*'Optimization Results'!D79</f>
        <v>0</v>
      </c>
      <c r="E79" s="1">
        <f>'User Interface'!$E$20*1000*'Optimization Results'!E79</f>
        <v>0</v>
      </c>
      <c r="F79" s="1">
        <f>'User Interface'!$E$20*1000*'Optimization Results'!F79</f>
        <v>0</v>
      </c>
      <c r="G79" s="1">
        <f>'User Interface'!$E$29*1000*'Optimization Results'!G79</f>
        <v>0</v>
      </c>
      <c r="H79" s="1">
        <f>'User Interface'!$E$35*1000*'Optimization Results'!H79</f>
        <v>0</v>
      </c>
      <c r="I79" s="1">
        <f>'User Interface'!$E$39*1000*'Optimization Results'!I79</f>
        <v>0</v>
      </c>
      <c r="J79">
        <v>0</v>
      </c>
      <c r="K79" s="1"/>
      <c r="L79" s="1">
        <f t="shared" si="25"/>
        <v>0</v>
      </c>
      <c r="M79" s="1"/>
      <c r="N79" s="105">
        <f t="shared" si="26"/>
        <v>0</v>
      </c>
      <c r="O79" s="1"/>
      <c r="P79" s="1">
        <f t="shared" si="27"/>
        <v>0</v>
      </c>
      <c r="Q79" s="1">
        <f t="shared" si="28"/>
        <v>0</v>
      </c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H79" s="159">
        <f t="shared" si="29"/>
        <v>0</v>
      </c>
      <c r="EJ79" s="39">
        <f t="shared" si="23"/>
        <v>0</v>
      </c>
      <c r="EK79" s="39">
        <f t="shared" si="30"/>
        <v>0</v>
      </c>
      <c r="EL79" s="39">
        <f t="shared" si="31"/>
        <v>0</v>
      </c>
      <c r="EM79" s="39">
        <f t="shared" si="24"/>
        <v>0</v>
      </c>
      <c r="EN79" s="39">
        <f t="shared" si="32"/>
        <v>0</v>
      </c>
      <c r="EO79" s="39">
        <f t="shared" si="32"/>
        <v>0</v>
      </c>
    </row>
    <row r="80" spans="2:145" ht="14.25" customHeight="1" x14ac:dyDescent="0.3">
      <c r="B80" s="3">
        <f t="shared" si="33"/>
        <v>0.76041666666666996</v>
      </c>
      <c r="D80" s="1">
        <f>'User Interface'!$E$14*1000*'Optimization Results'!D80</f>
        <v>0</v>
      </c>
      <c r="E80" s="1">
        <f>'User Interface'!$E$20*1000*'Optimization Results'!E80</f>
        <v>0</v>
      </c>
      <c r="F80" s="1">
        <f>'User Interface'!$E$20*1000*'Optimization Results'!F80</f>
        <v>0</v>
      </c>
      <c r="G80" s="1">
        <f>'User Interface'!$E$29*1000*'Optimization Results'!G80</f>
        <v>0</v>
      </c>
      <c r="H80" s="1">
        <f>'User Interface'!$E$35*1000*'Optimization Results'!H80</f>
        <v>0</v>
      </c>
      <c r="I80" s="1">
        <f>'User Interface'!$E$39*1000*'Optimization Results'!I80</f>
        <v>0</v>
      </c>
      <c r="J80">
        <v>0</v>
      </c>
      <c r="K80" s="1"/>
      <c r="L80" s="1">
        <f t="shared" si="25"/>
        <v>0</v>
      </c>
      <c r="M80" s="1"/>
      <c r="N80" s="105">
        <f t="shared" si="26"/>
        <v>0</v>
      </c>
      <c r="O80" s="1"/>
      <c r="P80" s="1">
        <f t="shared" si="27"/>
        <v>0</v>
      </c>
      <c r="Q80" s="1">
        <f t="shared" si="28"/>
        <v>0</v>
      </c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H80" s="159">
        <f t="shared" si="29"/>
        <v>0</v>
      </c>
      <c r="EJ80" s="39">
        <f t="shared" si="23"/>
        <v>0</v>
      </c>
      <c r="EK80" s="39">
        <f t="shared" si="30"/>
        <v>0</v>
      </c>
      <c r="EL80" s="39">
        <f t="shared" si="31"/>
        <v>0</v>
      </c>
      <c r="EM80" s="39">
        <f t="shared" si="24"/>
        <v>0</v>
      </c>
      <c r="EN80" s="39">
        <f t="shared" si="32"/>
        <v>0</v>
      </c>
      <c r="EO80" s="39">
        <f t="shared" si="32"/>
        <v>0</v>
      </c>
    </row>
    <row r="81" spans="2:145" ht="14.25" customHeight="1" x14ac:dyDescent="0.3">
      <c r="B81" s="3">
        <f t="shared" si="33"/>
        <v>0.7708333333333367</v>
      </c>
      <c r="D81" s="1">
        <f>'User Interface'!$E$14*1000*'Optimization Results'!D81</f>
        <v>0</v>
      </c>
      <c r="E81" s="1">
        <f>'User Interface'!$E$20*1000*'Optimization Results'!E81</f>
        <v>0</v>
      </c>
      <c r="F81" s="1">
        <f>'User Interface'!$E$20*1000*'Optimization Results'!F81</f>
        <v>0</v>
      </c>
      <c r="G81" s="1">
        <f>'User Interface'!$E$29*1000*'Optimization Results'!G81</f>
        <v>0</v>
      </c>
      <c r="H81" s="1">
        <f>'User Interface'!$E$35*1000*'Optimization Results'!H81</f>
        <v>0</v>
      </c>
      <c r="I81" s="1">
        <f>'User Interface'!$E$39*1000*'Optimization Results'!I81</f>
        <v>0</v>
      </c>
      <c r="J81">
        <v>0</v>
      </c>
      <c r="K81" s="1"/>
      <c r="L81" s="1">
        <f t="shared" si="25"/>
        <v>0</v>
      </c>
      <c r="M81" s="1"/>
      <c r="N81" s="105">
        <f t="shared" si="26"/>
        <v>0</v>
      </c>
      <c r="O81" s="1"/>
      <c r="P81" s="1">
        <f t="shared" si="27"/>
        <v>0</v>
      </c>
      <c r="Q81" s="1">
        <f t="shared" si="28"/>
        <v>0</v>
      </c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H81" s="159">
        <f t="shared" si="29"/>
        <v>0</v>
      </c>
      <c r="EJ81" s="39">
        <f t="shared" si="23"/>
        <v>0</v>
      </c>
      <c r="EK81" s="39">
        <f t="shared" si="30"/>
        <v>0</v>
      </c>
      <c r="EL81" s="39">
        <f t="shared" si="31"/>
        <v>0</v>
      </c>
      <c r="EM81" s="39">
        <f t="shared" si="24"/>
        <v>0</v>
      </c>
      <c r="EN81" s="39">
        <f t="shared" si="32"/>
        <v>0</v>
      </c>
      <c r="EO81" s="39">
        <f t="shared" si="32"/>
        <v>0</v>
      </c>
    </row>
    <row r="82" spans="2:145" ht="14.25" customHeight="1" x14ac:dyDescent="0.3">
      <c r="B82" s="3">
        <f t="shared" si="33"/>
        <v>0.78125000000000344</v>
      </c>
      <c r="D82" s="1">
        <f>'User Interface'!$E$14*1000*'Optimization Results'!D82</f>
        <v>0</v>
      </c>
      <c r="E82" s="1">
        <f>'User Interface'!$E$20*1000*'Optimization Results'!E82</f>
        <v>0</v>
      </c>
      <c r="F82" s="1">
        <f>'User Interface'!$E$20*1000*'Optimization Results'!F82</f>
        <v>0</v>
      </c>
      <c r="G82" s="1">
        <f>'User Interface'!$E$29*1000*'Optimization Results'!G82</f>
        <v>0</v>
      </c>
      <c r="H82" s="1">
        <f>'User Interface'!$E$35*1000*'Optimization Results'!H82</f>
        <v>0</v>
      </c>
      <c r="I82" s="1">
        <f>'User Interface'!$E$39*1000*'Optimization Results'!I82</f>
        <v>0</v>
      </c>
      <c r="J82">
        <v>0</v>
      </c>
      <c r="K82" s="1"/>
      <c r="L82" s="1">
        <f t="shared" si="25"/>
        <v>0</v>
      </c>
      <c r="M82" s="1"/>
      <c r="N82" s="105">
        <f t="shared" si="26"/>
        <v>0</v>
      </c>
      <c r="O82" s="1"/>
      <c r="P82" s="1">
        <f t="shared" si="27"/>
        <v>0</v>
      </c>
      <c r="Q82" s="1">
        <f t="shared" si="28"/>
        <v>0</v>
      </c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H82" s="159">
        <f t="shared" si="29"/>
        <v>0</v>
      </c>
      <c r="EJ82" s="39">
        <f t="shared" si="23"/>
        <v>0</v>
      </c>
      <c r="EK82" s="39">
        <f t="shared" si="30"/>
        <v>0</v>
      </c>
      <c r="EL82" s="39">
        <f t="shared" si="31"/>
        <v>0</v>
      </c>
      <c r="EM82" s="39">
        <f t="shared" si="24"/>
        <v>0</v>
      </c>
      <c r="EN82" s="39">
        <f t="shared" si="32"/>
        <v>0</v>
      </c>
      <c r="EO82" s="39">
        <f t="shared" si="32"/>
        <v>0</v>
      </c>
    </row>
    <row r="83" spans="2:145" ht="14.25" customHeight="1" x14ac:dyDescent="0.3">
      <c r="B83" s="3">
        <f t="shared" si="33"/>
        <v>0.79166666666667018</v>
      </c>
      <c r="D83" s="1">
        <f>'User Interface'!$E$14*1000*'Optimization Results'!D83</f>
        <v>0</v>
      </c>
      <c r="E83" s="1">
        <f>'User Interface'!$E$20*1000*'Optimization Results'!E83</f>
        <v>0</v>
      </c>
      <c r="F83" s="1">
        <f>'User Interface'!$E$20*1000*'Optimization Results'!F83</f>
        <v>0</v>
      </c>
      <c r="G83" s="1">
        <f>'User Interface'!$E$29*1000*'Optimization Results'!G83</f>
        <v>0</v>
      </c>
      <c r="H83" s="1">
        <f>'User Interface'!$E$35*1000*'Optimization Results'!H83</f>
        <v>0</v>
      </c>
      <c r="I83" s="1">
        <f>'User Interface'!$E$39*1000*'Optimization Results'!I83</f>
        <v>0</v>
      </c>
      <c r="J83">
        <v>0</v>
      </c>
      <c r="K83" s="1"/>
      <c r="L83" s="1">
        <f t="shared" si="25"/>
        <v>0</v>
      </c>
      <c r="M83" s="1"/>
      <c r="N83" s="105">
        <f t="shared" si="26"/>
        <v>0</v>
      </c>
      <c r="O83" s="1"/>
      <c r="P83" s="1">
        <f t="shared" si="27"/>
        <v>0</v>
      </c>
      <c r="Q83" s="1">
        <f t="shared" si="28"/>
        <v>0</v>
      </c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H83" s="159">
        <f t="shared" si="29"/>
        <v>0</v>
      </c>
      <c r="EJ83" s="39">
        <f t="shared" si="23"/>
        <v>0</v>
      </c>
      <c r="EK83" s="39">
        <f t="shared" si="30"/>
        <v>0</v>
      </c>
      <c r="EL83" s="39">
        <f t="shared" si="31"/>
        <v>0</v>
      </c>
      <c r="EM83" s="39">
        <f t="shared" si="24"/>
        <v>0</v>
      </c>
      <c r="EN83" s="39">
        <f t="shared" si="32"/>
        <v>0</v>
      </c>
      <c r="EO83" s="39">
        <f t="shared" si="32"/>
        <v>0</v>
      </c>
    </row>
    <row r="84" spans="2:145" ht="14.25" customHeight="1" x14ac:dyDescent="0.3">
      <c r="B84" s="3">
        <f t="shared" si="33"/>
        <v>0.80208333333333692</v>
      </c>
      <c r="D84" s="1">
        <f>'User Interface'!$E$14*1000*'Optimization Results'!D84</f>
        <v>0</v>
      </c>
      <c r="E84" s="1">
        <f>'User Interface'!$E$20*1000*'Optimization Results'!E84</f>
        <v>0</v>
      </c>
      <c r="F84" s="1">
        <f>'User Interface'!$E$20*1000*'Optimization Results'!F84</f>
        <v>0</v>
      </c>
      <c r="G84" s="1">
        <f>'User Interface'!$E$29*1000*'Optimization Results'!G84</f>
        <v>0</v>
      </c>
      <c r="H84" s="1">
        <f>'User Interface'!$E$35*1000*'Optimization Results'!H84</f>
        <v>0</v>
      </c>
      <c r="I84" s="1">
        <f>'User Interface'!$E$39*1000*'Optimization Results'!I84</f>
        <v>0</v>
      </c>
      <c r="J84">
        <v>0</v>
      </c>
      <c r="K84" s="1"/>
      <c r="L84" s="1">
        <f t="shared" si="25"/>
        <v>0</v>
      </c>
      <c r="M84" s="1"/>
      <c r="N84" s="105">
        <f t="shared" si="26"/>
        <v>0</v>
      </c>
      <c r="O84" s="1"/>
      <c r="P84" s="1">
        <f t="shared" si="27"/>
        <v>0</v>
      </c>
      <c r="Q84" s="1">
        <f t="shared" si="28"/>
        <v>0</v>
      </c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H84" s="159">
        <f t="shared" si="29"/>
        <v>0</v>
      </c>
      <c r="EJ84" s="39">
        <f t="shared" si="23"/>
        <v>0</v>
      </c>
      <c r="EK84" s="39">
        <f t="shared" si="30"/>
        <v>0</v>
      </c>
      <c r="EL84" s="39">
        <f t="shared" si="31"/>
        <v>0</v>
      </c>
      <c r="EM84" s="39">
        <f t="shared" si="24"/>
        <v>0</v>
      </c>
      <c r="EN84" s="39">
        <f t="shared" si="32"/>
        <v>0</v>
      </c>
      <c r="EO84" s="39">
        <f t="shared" si="32"/>
        <v>0</v>
      </c>
    </row>
    <row r="85" spans="2:145" ht="14.25" customHeight="1" x14ac:dyDescent="0.3">
      <c r="B85" s="3">
        <f t="shared" si="33"/>
        <v>0.81250000000000366</v>
      </c>
      <c r="D85" s="1">
        <f>'User Interface'!$E$14*1000*'Optimization Results'!D85</f>
        <v>0</v>
      </c>
      <c r="E85" s="1">
        <f>'User Interface'!$E$20*1000*'Optimization Results'!E85</f>
        <v>0</v>
      </c>
      <c r="F85" s="1">
        <f>'User Interface'!$E$20*1000*'Optimization Results'!F85</f>
        <v>0</v>
      </c>
      <c r="G85" s="1">
        <f>'User Interface'!$E$29*1000*'Optimization Results'!G85</f>
        <v>0</v>
      </c>
      <c r="H85" s="1">
        <f>'User Interface'!$E$35*1000*'Optimization Results'!H85</f>
        <v>0</v>
      </c>
      <c r="I85" s="1">
        <f>'User Interface'!$E$39*1000*'Optimization Results'!I85</f>
        <v>0</v>
      </c>
      <c r="J85">
        <v>0</v>
      </c>
      <c r="K85" s="1"/>
      <c r="L85" s="1">
        <f t="shared" si="25"/>
        <v>0</v>
      </c>
      <c r="M85" s="1"/>
      <c r="N85" s="105">
        <f t="shared" si="26"/>
        <v>0</v>
      </c>
      <c r="O85" s="1"/>
      <c r="P85" s="1">
        <f t="shared" si="27"/>
        <v>0</v>
      </c>
      <c r="Q85" s="1">
        <f t="shared" si="28"/>
        <v>0</v>
      </c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H85" s="159">
        <f t="shared" si="29"/>
        <v>0</v>
      </c>
      <c r="EJ85" s="39">
        <f t="shared" si="23"/>
        <v>0</v>
      </c>
      <c r="EK85" s="39">
        <f t="shared" si="30"/>
        <v>0</v>
      </c>
      <c r="EL85" s="39">
        <f t="shared" si="31"/>
        <v>0</v>
      </c>
      <c r="EM85" s="39">
        <f t="shared" si="24"/>
        <v>0</v>
      </c>
      <c r="EN85" s="39">
        <f t="shared" si="32"/>
        <v>0</v>
      </c>
      <c r="EO85" s="39">
        <f t="shared" si="32"/>
        <v>0</v>
      </c>
    </row>
    <row r="86" spans="2:145" ht="14.25" customHeight="1" x14ac:dyDescent="0.3">
      <c r="B86" s="3">
        <f t="shared" si="33"/>
        <v>0.8229166666666704</v>
      </c>
      <c r="D86" s="1">
        <f>'User Interface'!$E$14*1000*'Optimization Results'!D86</f>
        <v>0</v>
      </c>
      <c r="E86" s="1">
        <f>'User Interface'!$E$20*1000*'Optimization Results'!E86</f>
        <v>0</v>
      </c>
      <c r="F86" s="1">
        <f>'User Interface'!$E$20*1000*'Optimization Results'!F86</f>
        <v>0</v>
      </c>
      <c r="G86" s="1">
        <f>'User Interface'!$E$29*1000*'Optimization Results'!G86</f>
        <v>0</v>
      </c>
      <c r="H86" s="1">
        <f>'User Interface'!$E$35*1000*'Optimization Results'!H86</f>
        <v>0</v>
      </c>
      <c r="I86" s="1">
        <f>'User Interface'!$E$39*1000*'Optimization Results'!I86</f>
        <v>0</v>
      </c>
      <c r="J86">
        <v>0</v>
      </c>
      <c r="K86" s="1"/>
      <c r="L86" s="1">
        <f t="shared" si="25"/>
        <v>0</v>
      </c>
      <c r="M86" s="1"/>
      <c r="N86" s="105">
        <f t="shared" si="26"/>
        <v>0</v>
      </c>
      <c r="O86" s="1"/>
      <c r="P86" s="1">
        <f t="shared" si="27"/>
        <v>0</v>
      </c>
      <c r="Q86" s="1">
        <f t="shared" si="28"/>
        <v>0</v>
      </c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H86" s="159">
        <f t="shared" si="29"/>
        <v>0</v>
      </c>
      <c r="EJ86" s="39">
        <f t="shared" si="23"/>
        <v>0</v>
      </c>
      <c r="EK86" s="39">
        <f t="shared" si="30"/>
        <v>0</v>
      </c>
      <c r="EL86" s="39">
        <f t="shared" si="31"/>
        <v>0</v>
      </c>
      <c r="EM86" s="39">
        <f t="shared" si="24"/>
        <v>0</v>
      </c>
      <c r="EN86" s="39">
        <f t="shared" si="32"/>
        <v>0</v>
      </c>
      <c r="EO86" s="39">
        <f t="shared" si="32"/>
        <v>0</v>
      </c>
    </row>
    <row r="87" spans="2:145" ht="14.25" customHeight="1" x14ac:dyDescent="0.3">
      <c r="B87" s="3">
        <f t="shared" si="33"/>
        <v>0.83333333333333715</v>
      </c>
      <c r="D87" s="1">
        <f>'User Interface'!$E$14*1000*'Optimization Results'!D87</f>
        <v>0</v>
      </c>
      <c r="E87" s="1">
        <f>'User Interface'!$E$20*1000*'Optimization Results'!E87</f>
        <v>0</v>
      </c>
      <c r="F87" s="1">
        <f>'User Interface'!$E$20*1000*'Optimization Results'!F87</f>
        <v>0</v>
      </c>
      <c r="G87" s="1">
        <f>'User Interface'!$E$29*1000*'Optimization Results'!G87</f>
        <v>0</v>
      </c>
      <c r="H87" s="1">
        <f>'User Interface'!$E$35*1000*'Optimization Results'!H87</f>
        <v>0</v>
      </c>
      <c r="I87" s="1">
        <f>'User Interface'!$E$39*1000*'Optimization Results'!I87</f>
        <v>0</v>
      </c>
      <c r="J87">
        <v>0</v>
      </c>
      <c r="K87" s="1"/>
      <c r="L87" s="1">
        <f t="shared" si="25"/>
        <v>0</v>
      </c>
      <c r="M87" s="1"/>
      <c r="N87" s="105">
        <f t="shared" si="26"/>
        <v>0</v>
      </c>
      <c r="O87" s="1"/>
      <c r="P87" s="1">
        <f t="shared" si="27"/>
        <v>0</v>
      </c>
      <c r="Q87" s="1">
        <f t="shared" si="28"/>
        <v>0</v>
      </c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H87" s="159">
        <f t="shared" si="29"/>
        <v>0</v>
      </c>
      <c r="EJ87" s="39">
        <f t="shared" si="23"/>
        <v>0</v>
      </c>
      <c r="EK87" s="39">
        <f t="shared" si="30"/>
        <v>0</v>
      </c>
      <c r="EL87" s="39">
        <f t="shared" ref="EL87:EL102" si="34">IF(G87&gt;0,G87,0)</f>
        <v>0</v>
      </c>
      <c r="EM87" s="39">
        <f t="shared" si="24"/>
        <v>0</v>
      </c>
      <c r="EN87" s="39">
        <f t="shared" si="32"/>
        <v>0</v>
      </c>
      <c r="EO87" s="39">
        <f t="shared" si="32"/>
        <v>0</v>
      </c>
    </row>
    <row r="88" spans="2:145" ht="14.25" customHeight="1" x14ac:dyDescent="0.3">
      <c r="B88" s="3">
        <f t="shared" si="33"/>
        <v>0.84375000000000389</v>
      </c>
      <c r="D88" s="1">
        <f>'User Interface'!$E$14*1000*'Optimization Results'!D88</f>
        <v>0</v>
      </c>
      <c r="E88" s="1">
        <f>'User Interface'!$E$20*1000*'Optimization Results'!E88</f>
        <v>0</v>
      </c>
      <c r="F88" s="1">
        <f>'User Interface'!$E$20*1000*'Optimization Results'!F88</f>
        <v>0</v>
      </c>
      <c r="G88" s="1">
        <f>'User Interface'!$E$29*1000*'Optimization Results'!G88</f>
        <v>0</v>
      </c>
      <c r="H88" s="1">
        <f>'User Interface'!$E$35*1000*'Optimization Results'!H88</f>
        <v>0</v>
      </c>
      <c r="I88" s="1">
        <f>'User Interface'!$E$39*1000*'Optimization Results'!I88</f>
        <v>0</v>
      </c>
      <c r="J88">
        <v>0</v>
      </c>
      <c r="K88" s="1"/>
      <c r="L88" s="1">
        <f t="shared" si="25"/>
        <v>0</v>
      </c>
      <c r="M88" s="1"/>
      <c r="N88" s="105">
        <f t="shared" si="26"/>
        <v>0</v>
      </c>
      <c r="O88" s="1"/>
      <c r="P88" s="1">
        <f t="shared" si="27"/>
        <v>0</v>
      </c>
      <c r="Q88" s="1">
        <f t="shared" si="28"/>
        <v>0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H88" s="159">
        <f t="shared" si="29"/>
        <v>0</v>
      </c>
      <c r="EJ88" s="39">
        <f t="shared" si="23"/>
        <v>0</v>
      </c>
      <c r="EK88" s="39">
        <f t="shared" si="30"/>
        <v>0</v>
      </c>
      <c r="EL88" s="39">
        <f t="shared" si="34"/>
        <v>0</v>
      </c>
      <c r="EM88" s="39">
        <f t="shared" si="24"/>
        <v>0</v>
      </c>
      <c r="EN88" s="39">
        <f t="shared" si="32"/>
        <v>0</v>
      </c>
      <c r="EO88" s="39">
        <f t="shared" si="32"/>
        <v>0</v>
      </c>
    </row>
    <row r="89" spans="2:145" ht="14.25" customHeight="1" x14ac:dyDescent="0.3">
      <c r="B89" s="3">
        <f t="shared" si="33"/>
        <v>0.85416666666667063</v>
      </c>
      <c r="D89" s="1">
        <f>'User Interface'!$E$14*1000*'Optimization Results'!D89</f>
        <v>0</v>
      </c>
      <c r="E89" s="1">
        <f>'User Interface'!$E$20*1000*'Optimization Results'!E89</f>
        <v>0</v>
      </c>
      <c r="F89" s="1">
        <f>'User Interface'!$E$20*1000*'Optimization Results'!F89</f>
        <v>0</v>
      </c>
      <c r="G89" s="1">
        <f>'User Interface'!$E$29*1000*'Optimization Results'!G89</f>
        <v>0</v>
      </c>
      <c r="H89" s="1">
        <f>'User Interface'!$E$35*1000*'Optimization Results'!H89</f>
        <v>0</v>
      </c>
      <c r="I89" s="1">
        <f>'User Interface'!$E$39*1000*'Optimization Results'!I89</f>
        <v>0</v>
      </c>
      <c r="J89">
        <v>0</v>
      </c>
      <c r="K89" s="1"/>
      <c r="L89" s="1">
        <f t="shared" si="25"/>
        <v>0</v>
      </c>
      <c r="M89" s="1"/>
      <c r="N89" s="105">
        <f t="shared" si="26"/>
        <v>0</v>
      </c>
      <c r="O89" s="1"/>
      <c r="P89" s="1">
        <f t="shared" si="27"/>
        <v>0</v>
      </c>
      <c r="Q89" s="1">
        <f t="shared" si="28"/>
        <v>0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H89" s="159">
        <f t="shared" si="29"/>
        <v>0</v>
      </c>
      <c r="EJ89" s="39">
        <f t="shared" si="23"/>
        <v>0</v>
      </c>
      <c r="EK89" s="39">
        <f t="shared" si="30"/>
        <v>0</v>
      </c>
      <c r="EL89" s="39">
        <f t="shared" si="34"/>
        <v>0</v>
      </c>
      <c r="EM89" s="39">
        <f t="shared" si="24"/>
        <v>0</v>
      </c>
      <c r="EN89" s="39">
        <f t="shared" si="32"/>
        <v>0</v>
      </c>
      <c r="EO89" s="39">
        <f t="shared" si="32"/>
        <v>0</v>
      </c>
    </row>
    <row r="90" spans="2:145" ht="14.25" customHeight="1" x14ac:dyDescent="0.3">
      <c r="B90" s="3">
        <f t="shared" si="33"/>
        <v>0.86458333333333737</v>
      </c>
      <c r="D90" s="1">
        <f>'User Interface'!$E$14*1000*'Optimization Results'!D90</f>
        <v>0</v>
      </c>
      <c r="E90" s="1">
        <f>'User Interface'!$E$20*1000*'Optimization Results'!E90</f>
        <v>0</v>
      </c>
      <c r="F90" s="1">
        <f>'User Interface'!$E$20*1000*'Optimization Results'!F90</f>
        <v>0</v>
      </c>
      <c r="G90" s="1">
        <f>'User Interface'!$E$29*1000*'Optimization Results'!G90</f>
        <v>0</v>
      </c>
      <c r="H90" s="1">
        <f>'User Interface'!$E$35*1000*'Optimization Results'!H90</f>
        <v>0</v>
      </c>
      <c r="I90" s="1">
        <f>'User Interface'!$E$39*1000*'Optimization Results'!I90</f>
        <v>0</v>
      </c>
      <c r="J90">
        <v>0</v>
      </c>
      <c r="K90" s="1"/>
      <c r="L90" s="1">
        <f t="shared" si="25"/>
        <v>0</v>
      </c>
      <c r="M90" s="1"/>
      <c r="N90" s="105">
        <f t="shared" si="26"/>
        <v>0</v>
      </c>
      <c r="O90" s="1"/>
      <c r="P90" s="1">
        <f t="shared" si="27"/>
        <v>0</v>
      </c>
      <c r="Q90" s="1">
        <f t="shared" si="28"/>
        <v>0</v>
      </c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H90" s="159">
        <f t="shared" si="29"/>
        <v>0</v>
      </c>
      <c r="EJ90" s="39">
        <f t="shared" si="23"/>
        <v>0</v>
      </c>
      <c r="EK90" s="39">
        <f t="shared" si="30"/>
        <v>0</v>
      </c>
      <c r="EL90" s="39">
        <f t="shared" si="34"/>
        <v>0</v>
      </c>
      <c r="EM90" s="39">
        <f t="shared" si="24"/>
        <v>0</v>
      </c>
      <c r="EN90" s="39">
        <f t="shared" si="32"/>
        <v>0</v>
      </c>
      <c r="EO90" s="39">
        <f t="shared" si="32"/>
        <v>0</v>
      </c>
    </row>
    <row r="91" spans="2:145" ht="14.25" customHeight="1" x14ac:dyDescent="0.3">
      <c r="B91" s="3">
        <f t="shared" si="33"/>
        <v>0.87500000000000411</v>
      </c>
      <c r="D91" s="1">
        <f>'User Interface'!$E$14*1000*'Optimization Results'!D91</f>
        <v>0</v>
      </c>
      <c r="E91" s="1">
        <f>'User Interface'!$E$20*1000*'Optimization Results'!E91</f>
        <v>0</v>
      </c>
      <c r="F91" s="1">
        <f>'User Interface'!$E$20*1000*'Optimization Results'!F91</f>
        <v>0</v>
      </c>
      <c r="G91" s="1">
        <f>'User Interface'!$E$29*1000*'Optimization Results'!G91</f>
        <v>0</v>
      </c>
      <c r="H91" s="1">
        <f>'User Interface'!$E$35*1000*'Optimization Results'!H91</f>
        <v>0</v>
      </c>
      <c r="I91" s="1">
        <f>'User Interface'!$E$39*1000*'Optimization Results'!I91</f>
        <v>0</v>
      </c>
      <c r="J91">
        <v>0</v>
      </c>
      <c r="K91" s="1"/>
      <c r="L91" s="1">
        <f t="shared" si="25"/>
        <v>0</v>
      </c>
      <c r="M91" s="1"/>
      <c r="N91" s="105">
        <f t="shared" si="26"/>
        <v>0</v>
      </c>
      <c r="O91" s="1"/>
      <c r="P91" s="1">
        <f t="shared" si="27"/>
        <v>0</v>
      </c>
      <c r="Q91" s="1">
        <f t="shared" si="28"/>
        <v>0</v>
      </c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H91" s="159">
        <f t="shared" si="29"/>
        <v>0</v>
      </c>
      <c r="EJ91" s="39">
        <f t="shared" si="23"/>
        <v>0</v>
      </c>
      <c r="EK91" s="39">
        <f t="shared" si="30"/>
        <v>0</v>
      </c>
      <c r="EL91" s="39">
        <f t="shared" si="34"/>
        <v>0</v>
      </c>
      <c r="EM91" s="39">
        <f t="shared" si="24"/>
        <v>0</v>
      </c>
      <c r="EN91" s="39">
        <f t="shared" si="32"/>
        <v>0</v>
      </c>
      <c r="EO91" s="39">
        <f t="shared" si="32"/>
        <v>0</v>
      </c>
    </row>
    <row r="92" spans="2:145" ht="14.25" customHeight="1" x14ac:dyDescent="0.3">
      <c r="B92" s="3">
        <f t="shared" si="33"/>
        <v>0.88541666666667085</v>
      </c>
      <c r="D92" s="1">
        <f>'User Interface'!$E$14*1000*'Optimization Results'!D92</f>
        <v>0</v>
      </c>
      <c r="E92" s="1">
        <f>'User Interface'!$E$20*1000*'Optimization Results'!E92</f>
        <v>0</v>
      </c>
      <c r="F92" s="1">
        <f>'User Interface'!$E$20*1000*'Optimization Results'!F92</f>
        <v>0</v>
      </c>
      <c r="G92" s="1">
        <f>'User Interface'!$E$29*1000*'Optimization Results'!G92</f>
        <v>0</v>
      </c>
      <c r="H92" s="1">
        <f>'User Interface'!$E$35*1000*'Optimization Results'!H92</f>
        <v>0</v>
      </c>
      <c r="I92" s="1">
        <f>'User Interface'!$E$39*1000*'Optimization Results'!I92</f>
        <v>0</v>
      </c>
      <c r="J92">
        <v>0</v>
      </c>
      <c r="K92" s="1"/>
      <c r="L92" s="1">
        <f t="shared" si="25"/>
        <v>0</v>
      </c>
      <c r="M92" s="1"/>
      <c r="N92" s="105">
        <f t="shared" si="26"/>
        <v>0</v>
      </c>
      <c r="O92" s="1"/>
      <c r="P92" s="1">
        <f t="shared" si="27"/>
        <v>0</v>
      </c>
      <c r="Q92" s="1">
        <f t="shared" si="28"/>
        <v>0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H92" s="159">
        <f t="shared" si="29"/>
        <v>0</v>
      </c>
      <c r="EJ92" s="39">
        <f t="shared" si="23"/>
        <v>0</v>
      </c>
      <c r="EK92" s="39">
        <f t="shared" si="30"/>
        <v>0</v>
      </c>
      <c r="EL92" s="39">
        <f t="shared" si="34"/>
        <v>0</v>
      </c>
      <c r="EM92" s="39">
        <f t="shared" si="24"/>
        <v>0</v>
      </c>
      <c r="EN92" s="39">
        <f t="shared" si="32"/>
        <v>0</v>
      </c>
      <c r="EO92" s="39">
        <f t="shared" si="32"/>
        <v>0</v>
      </c>
    </row>
    <row r="93" spans="2:145" ht="14.25" customHeight="1" x14ac:dyDescent="0.3">
      <c r="B93" s="3">
        <f t="shared" si="33"/>
        <v>0.89583333333333759</v>
      </c>
      <c r="D93" s="1">
        <f>'User Interface'!$E$14*1000*'Optimization Results'!D93</f>
        <v>0</v>
      </c>
      <c r="E93" s="1">
        <f>'User Interface'!$E$20*1000*'Optimization Results'!E93</f>
        <v>0</v>
      </c>
      <c r="F93" s="1">
        <f>'User Interface'!$E$20*1000*'Optimization Results'!F93</f>
        <v>0</v>
      </c>
      <c r="G93" s="1">
        <f>'User Interface'!$E$29*1000*'Optimization Results'!G93</f>
        <v>0</v>
      </c>
      <c r="H93" s="1">
        <f>'User Interface'!$E$35*1000*'Optimization Results'!H93</f>
        <v>0</v>
      </c>
      <c r="I93" s="1">
        <f>'User Interface'!$E$39*1000*'Optimization Results'!I93</f>
        <v>0</v>
      </c>
      <c r="J93">
        <v>0</v>
      </c>
      <c r="K93" s="1"/>
      <c r="L93" s="1">
        <f t="shared" si="25"/>
        <v>0</v>
      </c>
      <c r="M93" s="1"/>
      <c r="N93" s="105">
        <f t="shared" si="26"/>
        <v>0</v>
      </c>
      <c r="O93" s="1"/>
      <c r="P93" s="1">
        <f t="shared" si="27"/>
        <v>0</v>
      </c>
      <c r="Q93" s="1">
        <f t="shared" si="28"/>
        <v>0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H93" s="159">
        <f t="shared" si="29"/>
        <v>0</v>
      </c>
      <c r="EJ93" s="39">
        <f t="shared" si="23"/>
        <v>0</v>
      </c>
      <c r="EK93" s="39">
        <f t="shared" si="30"/>
        <v>0</v>
      </c>
      <c r="EL93" s="39">
        <f t="shared" si="34"/>
        <v>0</v>
      </c>
      <c r="EM93" s="39">
        <f t="shared" si="24"/>
        <v>0</v>
      </c>
      <c r="EN93" s="39">
        <f t="shared" si="32"/>
        <v>0</v>
      </c>
      <c r="EO93" s="39">
        <f t="shared" si="32"/>
        <v>0</v>
      </c>
    </row>
    <row r="94" spans="2:145" ht="14.25" customHeight="1" x14ac:dyDescent="0.3">
      <c r="B94" s="3">
        <f t="shared" si="33"/>
        <v>0.90625000000000433</v>
      </c>
      <c r="D94" s="1">
        <f>'User Interface'!$E$14*1000*'Optimization Results'!D94</f>
        <v>0</v>
      </c>
      <c r="E94" s="1">
        <f>'User Interface'!$E$20*1000*'Optimization Results'!E94</f>
        <v>0</v>
      </c>
      <c r="F94" s="1">
        <f>'User Interface'!$E$20*1000*'Optimization Results'!F94</f>
        <v>0</v>
      </c>
      <c r="G94" s="1">
        <f>'User Interface'!$E$29*1000*'Optimization Results'!G94</f>
        <v>0</v>
      </c>
      <c r="H94" s="1">
        <f>'User Interface'!$E$35*1000*'Optimization Results'!H94</f>
        <v>0</v>
      </c>
      <c r="I94" s="1">
        <f>'User Interface'!$E$39*1000*'Optimization Results'!I94</f>
        <v>0</v>
      </c>
      <c r="J94">
        <v>0</v>
      </c>
      <c r="K94" s="1"/>
      <c r="L94" s="1">
        <f t="shared" si="25"/>
        <v>0</v>
      </c>
      <c r="M94" s="1"/>
      <c r="N94" s="105">
        <f t="shared" si="26"/>
        <v>0</v>
      </c>
      <c r="O94" s="1"/>
      <c r="P94" s="1">
        <f t="shared" si="27"/>
        <v>0</v>
      </c>
      <c r="Q94" s="1">
        <f t="shared" si="28"/>
        <v>0</v>
      </c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H94" s="159">
        <f t="shared" si="29"/>
        <v>0</v>
      </c>
      <c r="EJ94" s="39">
        <f t="shared" si="23"/>
        <v>0</v>
      </c>
      <c r="EK94" s="39">
        <f t="shared" si="30"/>
        <v>0</v>
      </c>
      <c r="EL94" s="39">
        <f t="shared" si="34"/>
        <v>0</v>
      </c>
      <c r="EM94" s="39">
        <f t="shared" si="24"/>
        <v>0</v>
      </c>
      <c r="EN94" s="39">
        <f t="shared" si="32"/>
        <v>0</v>
      </c>
      <c r="EO94" s="39">
        <f t="shared" si="32"/>
        <v>0</v>
      </c>
    </row>
    <row r="95" spans="2:145" ht="14.25" customHeight="1" x14ac:dyDescent="0.3">
      <c r="B95" s="3">
        <f t="shared" si="33"/>
        <v>0.91666666666667107</v>
      </c>
      <c r="D95" s="1">
        <f>'User Interface'!$E$14*1000*'Optimization Results'!D95</f>
        <v>0</v>
      </c>
      <c r="E95" s="1">
        <f>'User Interface'!$E$20*1000*'Optimization Results'!E95</f>
        <v>0</v>
      </c>
      <c r="F95" s="1">
        <f>'User Interface'!$E$20*1000*'Optimization Results'!F95</f>
        <v>0</v>
      </c>
      <c r="G95" s="1">
        <f>'User Interface'!$E$29*1000*'Optimization Results'!G95</f>
        <v>0</v>
      </c>
      <c r="H95" s="1">
        <f>'User Interface'!$E$35*1000*'Optimization Results'!H95</f>
        <v>0</v>
      </c>
      <c r="I95" s="1">
        <f>'User Interface'!$E$39*1000*'Optimization Results'!I95</f>
        <v>0</v>
      </c>
      <c r="J95">
        <v>0</v>
      </c>
      <c r="K95" s="1"/>
      <c r="L95" s="1">
        <f t="shared" si="25"/>
        <v>0</v>
      </c>
      <c r="M95" s="1"/>
      <c r="N95" s="105">
        <f t="shared" si="26"/>
        <v>0</v>
      </c>
      <c r="O95" s="1"/>
      <c r="P95" s="1">
        <f t="shared" si="27"/>
        <v>0</v>
      </c>
      <c r="Q95" s="1">
        <f t="shared" si="28"/>
        <v>0</v>
      </c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H95" s="159">
        <f t="shared" si="29"/>
        <v>0</v>
      </c>
      <c r="EJ95" s="39">
        <f t="shared" si="23"/>
        <v>0</v>
      </c>
      <c r="EK95" s="39">
        <f t="shared" si="30"/>
        <v>0</v>
      </c>
      <c r="EL95" s="39">
        <f t="shared" si="34"/>
        <v>0</v>
      </c>
      <c r="EM95" s="39">
        <f t="shared" si="24"/>
        <v>0</v>
      </c>
      <c r="EN95" s="39">
        <f t="shared" si="32"/>
        <v>0</v>
      </c>
      <c r="EO95" s="39">
        <f t="shared" si="32"/>
        <v>0</v>
      </c>
    </row>
    <row r="96" spans="2:145" ht="14.25" customHeight="1" x14ac:dyDescent="0.3">
      <c r="B96" s="3">
        <f t="shared" si="33"/>
        <v>0.92708333333333781</v>
      </c>
      <c r="D96" s="1">
        <f>'User Interface'!$E$14*1000*'Optimization Results'!D96</f>
        <v>0</v>
      </c>
      <c r="E96" s="1">
        <f>'User Interface'!$E$20*1000*'Optimization Results'!E96</f>
        <v>0</v>
      </c>
      <c r="F96" s="1">
        <f>'User Interface'!$E$20*1000*'Optimization Results'!F96</f>
        <v>0</v>
      </c>
      <c r="G96" s="1">
        <f>'User Interface'!$E$29*1000*'Optimization Results'!G96</f>
        <v>0</v>
      </c>
      <c r="H96" s="1">
        <f>'User Interface'!$E$35*1000*'Optimization Results'!H96</f>
        <v>0</v>
      </c>
      <c r="I96" s="1">
        <f>'User Interface'!$E$39*1000*'Optimization Results'!I96</f>
        <v>0</v>
      </c>
      <c r="J96">
        <v>0</v>
      </c>
      <c r="K96" s="1"/>
      <c r="L96" s="1">
        <f t="shared" si="25"/>
        <v>0</v>
      </c>
      <c r="M96" s="1"/>
      <c r="N96" s="105">
        <f t="shared" si="26"/>
        <v>0</v>
      </c>
      <c r="O96" s="1"/>
      <c r="P96" s="1">
        <f t="shared" si="27"/>
        <v>0</v>
      </c>
      <c r="Q96" s="1">
        <f t="shared" si="28"/>
        <v>0</v>
      </c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H96" s="159">
        <f t="shared" si="29"/>
        <v>0</v>
      </c>
      <c r="EJ96" s="39">
        <f t="shared" si="23"/>
        <v>0</v>
      </c>
      <c r="EK96" s="39">
        <f t="shared" si="30"/>
        <v>0</v>
      </c>
      <c r="EL96" s="39">
        <f t="shared" si="34"/>
        <v>0</v>
      </c>
      <c r="EM96" s="39">
        <f t="shared" si="24"/>
        <v>0</v>
      </c>
      <c r="EN96" s="39">
        <f t="shared" si="32"/>
        <v>0</v>
      </c>
      <c r="EO96" s="39">
        <f t="shared" si="32"/>
        <v>0</v>
      </c>
    </row>
    <row r="97" spans="2:145" ht="14.25" customHeight="1" x14ac:dyDescent="0.3">
      <c r="B97" s="3">
        <f t="shared" si="33"/>
        <v>0.93750000000000455</v>
      </c>
      <c r="D97" s="1">
        <f>'User Interface'!$E$14*1000*'Optimization Results'!D97</f>
        <v>0</v>
      </c>
      <c r="E97" s="1">
        <f>'User Interface'!$E$20*1000*'Optimization Results'!E97</f>
        <v>0</v>
      </c>
      <c r="F97" s="1">
        <f>'User Interface'!$E$20*1000*'Optimization Results'!F97</f>
        <v>0</v>
      </c>
      <c r="G97" s="1">
        <f>'User Interface'!$E$29*1000*'Optimization Results'!G97</f>
        <v>0</v>
      </c>
      <c r="H97" s="1">
        <f>'User Interface'!$E$35*1000*'Optimization Results'!H97</f>
        <v>0</v>
      </c>
      <c r="I97" s="1">
        <f>'User Interface'!$E$39*1000*'Optimization Results'!I97</f>
        <v>0</v>
      </c>
      <c r="J97">
        <v>0</v>
      </c>
      <c r="K97" s="1"/>
      <c r="L97" s="1">
        <f t="shared" si="25"/>
        <v>0</v>
      </c>
      <c r="M97" s="1"/>
      <c r="N97" s="105">
        <f t="shared" si="26"/>
        <v>0</v>
      </c>
      <c r="O97" s="1"/>
      <c r="P97" s="1">
        <f t="shared" si="27"/>
        <v>0</v>
      </c>
      <c r="Q97" s="1">
        <f t="shared" si="28"/>
        <v>0</v>
      </c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H97" s="159">
        <f t="shared" si="29"/>
        <v>0</v>
      </c>
      <c r="EJ97" s="39">
        <f t="shared" si="23"/>
        <v>0</v>
      </c>
      <c r="EK97" s="39">
        <f t="shared" si="30"/>
        <v>0</v>
      </c>
      <c r="EL97" s="39">
        <f t="shared" si="34"/>
        <v>0</v>
      </c>
      <c r="EM97" s="39">
        <f t="shared" si="24"/>
        <v>0</v>
      </c>
      <c r="EN97" s="39">
        <f t="shared" si="32"/>
        <v>0</v>
      </c>
      <c r="EO97" s="39">
        <f t="shared" si="32"/>
        <v>0</v>
      </c>
    </row>
    <row r="98" spans="2:145" ht="14.25" customHeight="1" x14ac:dyDescent="0.3">
      <c r="B98" s="3">
        <f t="shared" si="33"/>
        <v>0.94791666666667129</v>
      </c>
      <c r="D98" s="1">
        <f>'User Interface'!$E$14*1000*'Optimization Results'!D98</f>
        <v>0</v>
      </c>
      <c r="E98" s="1">
        <f>'User Interface'!$E$20*1000*'Optimization Results'!E98</f>
        <v>0</v>
      </c>
      <c r="F98" s="1">
        <f>'User Interface'!$E$20*1000*'Optimization Results'!F98</f>
        <v>0</v>
      </c>
      <c r="G98" s="1">
        <f>'User Interface'!$E$29*1000*'Optimization Results'!G98</f>
        <v>0</v>
      </c>
      <c r="H98" s="1">
        <f>'User Interface'!$E$35*1000*'Optimization Results'!H98</f>
        <v>0</v>
      </c>
      <c r="I98" s="1">
        <f>'User Interface'!$E$39*1000*'Optimization Results'!I98</f>
        <v>0</v>
      </c>
      <c r="J98">
        <v>0</v>
      </c>
      <c r="K98" s="1"/>
      <c r="L98" s="1">
        <f t="shared" si="25"/>
        <v>0</v>
      </c>
      <c r="M98" s="1"/>
      <c r="N98" s="105">
        <f t="shared" si="26"/>
        <v>0</v>
      </c>
      <c r="O98" s="1"/>
      <c r="P98" s="1">
        <f t="shared" si="27"/>
        <v>0</v>
      </c>
      <c r="Q98" s="1">
        <f t="shared" si="28"/>
        <v>0</v>
      </c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H98" s="159">
        <f t="shared" si="29"/>
        <v>0</v>
      </c>
      <c r="EJ98" s="39">
        <f t="shared" si="23"/>
        <v>0</v>
      </c>
      <c r="EK98" s="39">
        <f t="shared" si="30"/>
        <v>0</v>
      </c>
      <c r="EL98" s="39">
        <f t="shared" si="34"/>
        <v>0</v>
      </c>
      <c r="EM98" s="39">
        <f t="shared" si="24"/>
        <v>0</v>
      </c>
      <c r="EN98" s="39">
        <f t="shared" si="32"/>
        <v>0</v>
      </c>
      <c r="EO98" s="39">
        <f t="shared" si="32"/>
        <v>0</v>
      </c>
    </row>
    <row r="99" spans="2:145" ht="14.25" customHeight="1" x14ac:dyDescent="0.3">
      <c r="B99" s="3">
        <f t="shared" si="33"/>
        <v>0.95833333333333803</v>
      </c>
      <c r="D99" s="1">
        <f>'User Interface'!$E$14*1000*'Optimization Results'!D99</f>
        <v>0</v>
      </c>
      <c r="E99" s="1">
        <f>'User Interface'!$E$20*1000*'Optimization Results'!E99</f>
        <v>0</v>
      </c>
      <c r="F99" s="1">
        <f>'User Interface'!$E$20*1000*'Optimization Results'!F99</f>
        <v>0</v>
      </c>
      <c r="G99" s="1">
        <f>'User Interface'!$E$29*1000*'Optimization Results'!G99</f>
        <v>0</v>
      </c>
      <c r="H99" s="1">
        <f>'User Interface'!$E$35*1000*'Optimization Results'!H99</f>
        <v>0</v>
      </c>
      <c r="I99" s="1">
        <f>'User Interface'!$E$39*1000*'Optimization Results'!I99</f>
        <v>0</v>
      </c>
      <c r="J99">
        <v>0</v>
      </c>
      <c r="K99" s="1"/>
      <c r="L99" s="1">
        <f t="shared" si="25"/>
        <v>0</v>
      </c>
      <c r="M99" s="1"/>
      <c r="N99" s="105">
        <f t="shared" si="26"/>
        <v>0</v>
      </c>
      <c r="O99" s="1"/>
      <c r="P99" s="1">
        <f t="shared" si="27"/>
        <v>0</v>
      </c>
      <c r="Q99" s="1">
        <f t="shared" si="28"/>
        <v>0</v>
      </c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H99" s="159">
        <f t="shared" si="29"/>
        <v>0</v>
      </c>
      <c r="EJ99" s="39">
        <f t="shared" si="23"/>
        <v>0</v>
      </c>
      <c r="EK99" s="39">
        <f t="shared" si="30"/>
        <v>0</v>
      </c>
      <c r="EL99" s="39">
        <f t="shared" si="34"/>
        <v>0</v>
      </c>
      <c r="EM99" s="39">
        <f t="shared" si="24"/>
        <v>0</v>
      </c>
      <c r="EN99" s="39">
        <f t="shared" si="32"/>
        <v>0</v>
      </c>
      <c r="EO99" s="39">
        <f t="shared" si="32"/>
        <v>0</v>
      </c>
    </row>
    <row r="100" spans="2:145" ht="14.25" customHeight="1" x14ac:dyDescent="0.3">
      <c r="B100" s="3">
        <f t="shared" si="33"/>
        <v>0.96875000000000477</v>
      </c>
      <c r="D100" s="1">
        <f>'User Interface'!$E$14*1000*'Optimization Results'!D100</f>
        <v>0</v>
      </c>
      <c r="E100" s="1">
        <f>'User Interface'!$E$20*1000*'Optimization Results'!E100</f>
        <v>0</v>
      </c>
      <c r="F100" s="1">
        <f>'User Interface'!$E$20*1000*'Optimization Results'!F100</f>
        <v>0</v>
      </c>
      <c r="G100" s="1">
        <f>'User Interface'!$E$29*1000*'Optimization Results'!G100</f>
        <v>0</v>
      </c>
      <c r="H100" s="1">
        <f>'User Interface'!$E$35*1000*'Optimization Results'!H100</f>
        <v>0</v>
      </c>
      <c r="I100" s="1">
        <f>'User Interface'!$E$39*1000*'Optimization Results'!I100</f>
        <v>0</v>
      </c>
      <c r="J100">
        <v>0</v>
      </c>
      <c r="K100" s="1"/>
      <c r="L100" s="1">
        <f t="shared" si="25"/>
        <v>0</v>
      </c>
      <c r="M100" s="1"/>
      <c r="N100" s="105">
        <f t="shared" si="26"/>
        <v>0</v>
      </c>
      <c r="O100" s="1"/>
      <c r="P100" s="1">
        <f t="shared" si="27"/>
        <v>0</v>
      </c>
      <c r="Q100" s="1">
        <f t="shared" si="28"/>
        <v>0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H100" s="159">
        <f t="shared" si="29"/>
        <v>0</v>
      </c>
      <c r="EJ100" s="39">
        <f t="shared" si="23"/>
        <v>0</v>
      </c>
      <c r="EK100" s="39">
        <f t="shared" si="30"/>
        <v>0</v>
      </c>
      <c r="EL100" s="39">
        <f t="shared" si="34"/>
        <v>0</v>
      </c>
      <c r="EM100" s="39">
        <f t="shared" si="24"/>
        <v>0</v>
      </c>
      <c r="EN100" s="39">
        <f t="shared" si="32"/>
        <v>0</v>
      </c>
      <c r="EO100" s="39">
        <f t="shared" si="32"/>
        <v>0</v>
      </c>
    </row>
    <row r="101" spans="2:145" ht="14.25" customHeight="1" x14ac:dyDescent="0.3">
      <c r="B101" s="3">
        <f t="shared" si="33"/>
        <v>0.97916666666667151</v>
      </c>
      <c r="D101" s="1">
        <f>'User Interface'!$E$14*1000*'Optimization Results'!D101</f>
        <v>0</v>
      </c>
      <c r="E101" s="1">
        <f>'User Interface'!$E$20*1000*'Optimization Results'!E101</f>
        <v>0</v>
      </c>
      <c r="F101" s="1">
        <f>'User Interface'!$E$20*1000*'Optimization Results'!F101</f>
        <v>0</v>
      </c>
      <c r="G101" s="1">
        <f>'User Interface'!$E$29*1000*'Optimization Results'!G101</f>
        <v>0</v>
      </c>
      <c r="H101" s="1">
        <f>'User Interface'!$E$35*1000*'Optimization Results'!H101</f>
        <v>0</v>
      </c>
      <c r="I101" s="1">
        <f>'User Interface'!$E$39*1000*'Optimization Results'!I101</f>
        <v>0</v>
      </c>
      <c r="J101">
        <v>0</v>
      </c>
      <c r="K101" s="1"/>
      <c r="L101" s="1">
        <f t="shared" si="25"/>
        <v>0</v>
      </c>
      <c r="M101" s="1"/>
      <c r="N101" s="105">
        <f t="shared" si="26"/>
        <v>0</v>
      </c>
      <c r="O101" s="1"/>
      <c r="P101" s="1">
        <f t="shared" si="27"/>
        <v>0</v>
      </c>
      <c r="Q101" s="1">
        <f t="shared" si="28"/>
        <v>0</v>
      </c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H101" s="159">
        <f t="shared" si="29"/>
        <v>0</v>
      </c>
      <c r="EJ101" s="39">
        <f t="shared" si="23"/>
        <v>0</v>
      </c>
      <c r="EK101" s="39">
        <f t="shared" si="30"/>
        <v>0</v>
      </c>
      <c r="EL101" s="39">
        <f t="shared" si="34"/>
        <v>0</v>
      </c>
      <c r="EM101" s="39">
        <f t="shared" si="24"/>
        <v>0</v>
      </c>
      <c r="EN101" s="39">
        <f t="shared" si="32"/>
        <v>0</v>
      </c>
      <c r="EO101" s="39">
        <f t="shared" si="32"/>
        <v>0</v>
      </c>
    </row>
    <row r="102" spans="2:145" ht="14.25" customHeight="1" x14ac:dyDescent="0.3">
      <c r="B102" s="3">
        <f t="shared" si="33"/>
        <v>0.98958333333333826</v>
      </c>
      <c r="D102" s="1">
        <f>'User Interface'!$E$14*1000*'Optimization Results'!D102</f>
        <v>0</v>
      </c>
      <c r="E102" s="1">
        <f>'User Interface'!$E$20*1000*'Optimization Results'!E102</f>
        <v>0</v>
      </c>
      <c r="F102" s="1">
        <f>'User Interface'!$E$20*1000*'Optimization Results'!F102</f>
        <v>0</v>
      </c>
      <c r="G102" s="1">
        <f>'User Interface'!$E$29*1000*'Optimization Results'!G102</f>
        <v>0</v>
      </c>
      <c r="H102" s="1">
        <f>'User Interface'!$E$35*1000*'Optimization Results'!H102</f>
        <v>0</v>
      </c>
      <c r="I102" s="1">
        <f>'User Interface'!$E$39*1000*'Optimization Results'!I102</f>
        <v>0</v>
      </c>
      <c r="J102">
        <v>0</v>
      </c>
      <c r="K102" s="1"/>
      <c r="L102" s="1">
        <f t="shared" si="25"/>
        <v>0</v>
      </c>
      <c r="N102" s="105">
        <f t="shared" si="26"/>
        <v>0</v>
      </c>
      <c r="O102" s="1"/>
      <c r="P102" s="1">
        <f t="shared" si="27"/>
        <v>0</v>
      </c>
      <c r="Q102" s="1">
        <f t="shared" si="28"/>
        <v>0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H102" s="159">
        <f t="shared" si="29"/>
        <v>0</v>
      </c>
      <c r="EJ102" s="39">
        <f t="shared" si="23"/>
        <v>0</v>
      </c>
      <c r="EK102" s="39">
        <f t="shared" si="30"/>
        <v>0</v>
      </c>
      <c r="EL102" s="39">
        <f t="shared" si="34"/>
        <v>0</v>
      </c>
      <c r="EM102" s="39">
        <f t="shared" si="24"/>
        <v>0</v>
      </c>
      <c r="EN102" s="39">
        <f t="shared" si="32"/>
        <v>0</v>
      </c>
      <c r="EO102" s="39">
        <f t="shared" si="32"/>
        <v>0</v>
      </c>
    </row>
    <row r="103" spans="2:145" ht="14.25" customHeight="1" x14ac:dyDescent="0.3">
      <c r="G103" s="1"/>
      <c r="H103" s="1"/>
      <c r="I103" s="1"/>
      <c r="EG103" s="158"/>
    </row>
    <row r="104" spans="2:145" ht="14.25" customHeight="1" x14ac:dyDescent="0.3">
      <c r="G104" s="1"/>
      <c r="H104" s="1"/>
      <c r="I104" s="1"/>
      <c r="EG104" s="158"/>
    </row>
    <row r="105" spans="2:145" ht="14.25" customHeight="1" x14ac:dyDescent="0.3">
      <c r="G105" s="1"/>
      <c r="H105" s="1"/>
      <c r="I105" s="1"/>
      <c r="EG105" s="158"/>
    </row>
    <row r="106" spans="2:145" ht="14.25" customHeight="1" x14ac:dyDescent="0.3">
      <c r="G106" s="1"/>
      <c r="H106" s="1"/>
      <c r="I106" s="1"/>
      <c r="EG106" s="158"/>
    </row>
    <row r="107" spans="2:145" ht="14.25" customHeight="1" x14ac:dyDescent="0.3">
      <c r="G107" s="1"/>
      <c r="H107" s="1"/>
      <c r="I107" s="1"/>
      <c r="EG107" s="158"/>
    </row>
    <row r="108" spans="2:145" ht="14.25" customHeight="1" x14ac:dyDescent="0.3">
      <c r="G108" s="1"/>
      <c r="H108" s="1"/>
      <c r="I108" s="1"/>
      <c r="EG108" s="158"/>
    </row>
    <row r="109" spans="2:145" ht="14.25" customHeight="1" x14ac:dyDescent="0.3">
      <c r="G109" s="1"/>
      <c r="H109" s="1"/>
      <c r="I109" s="1"/>
      <c r="EG109" s="158"/>
    </row>
    <row r="110" spans="2:145" ht="14.25" customHeight="1" x14ac:dyDescent="0.3">
      <c r="G110" s="1"/>
      <c r="H110" s="1"/>
      <c r="I110" s="1"/>
      <c r="EG110" s="158"/>
    </row>
    <row r="111" spans="2:145" ht="14.25" customHeight="1" x14ac:dyDescent="0.3">
      <c r="G111" s="1"/>
      <c r="H111" s="1"/>
      <c r="I111" s="1"/>
      <c r="EG111" s="158"/>
    </row>
    <row r="112" spans="2:145" ht="14.25" customHeight="1" x14ac:dyDescent="0.3">
      <c r="D112" s="39"/>
      <c r="E112" s="39"/>
      <c r="F112" s="39"/>
      <c r="G112" s="39"/>
      <c r="H112" s="39"/>
      <c r="I112" s="39"/>
      <c r="J112" s="39"/>
      <c r="K112" s="39"/>
      <c r="L112" s="39"/>
      <c r="N112" s="39"/>
      <c r="P112" s="39"/>
      <c r="EG112" s="158"/>
    </row>
    <row r="113" spans="7:137" ht="14.25" customHeight="1" x14ac:dyDescent="0.3">
      <c r="G113" s="1"/>
      <c r="H113" s="1"/>
      <c r="I113" s="1"/>
      <c r="EG113" s="158"/>
    </row>
    <row r="114" spans="7:137" ht="14.25" customHeight="1" x14ac:dyDescent="0.3">
      <c r="G114" s="1"/>
      <c r="H114" s="1"/>
      <c r="I114" s="1"/>
      <c r="EG114" s="158"/>
    </row>
    <row r="115" spans="7:137" ht="14.25" customHeight="1" x14ac:dyDescent="0.3">
      <c r="G115" s="1"/>
      <c r="H115" s="1"/>
      <c r="I115" s="1"/>
      <c r="EG115" s="158"/>
    </row>
    <row r="116" spans="7:137" ht="14.25" customHeight="1" x14ac:dyDescent="0.3">
      <c r="G116" s="1"/>
      <c r="H116" s="1"/>
      <c r="I116" s="1"/>
      <c r="EG116" s="158"/>
    </row>
    <row r="117" spans="7:137" ht="14.25" customHeight="1" x14ac:dyDescent="0.3">
      <c r="G117" s="1"/>
      <c r="H117" s="1"/>
      <c r="I117" s="1"/>
      <c r="EG117" s="158"/>
    </row>
    <row r="118" spans="7:137" ht="14.25" customHeight="1" x14ac:dyDescent="0.3">
      <c r="G118" s="1"/>
      <c r="H118" s="1"/>
      <c r="I118" s="1"/>
      <c r="EG118" s="158"/>
    </row>
    <row r="119" spans="7:137" ht="14.25" customHeight="1" x14ac:dyDescent="0.3">
      <c r="G119" s="1"/>
      <c r="H119" s="1"/>
      <c r="I119" s="1"/>
      <c r="EG119" s="158"/>
    </row>
    <row r="120" spans="7:137" ht="14.25" customHeight="1" x14ac:dyDescent="0.3">
      <c r="G120" s="1"/>
      <c r="H120" s="1"/>
      <c r="I120" s="1"/>
      <c r="EG120" s="158"/>
    </row>
    <row r="121" spans="7:137" ht="14.25" customHeight="1" x14ac:dyDescent="0.3">
      <c r="G121" s="1"/>
      <c r="H121" s="1"/>
      <c r="I121" s="1"/>
      <c r="EG121" s="158"/>
    </row>
    <row r="122" spans="7:137" ht="14.25" customHeight="1" x14ac:dyDescent="0.3">
      <c r="G122" s="1"/>
      <c r="H122" s="1"/>
      <c r="I122" s="1"/>
      <c r="EG122" s="158"/>
    </row>
    <row r="123" spans="7:137" ht="14.25" customHeight="1" x14ac:dyDescent="0.3">
      <c r="G123" s="1"/>
      <c r="H123" s="1"/>
      <c r="I123" s="1"/>
      <c r="EG123" s="158"/>
    </row>
    <row r="124" spans="7:137" ht="14.25" customHeight="1" x14ac:dyDescent="0.3">
      <c r="G124" s="1"/>
      <c r="H124" s="1"/>
      <c r="I124" s="1"/>
      <c r="EG124" s="158"/>
    </row>
    <row r="125" spans="7:137" ht="14.25" customHeight="1" x14ac:dyDescent="0.3">
      <c r="G125" s="1"/>
      <c r="H125" s="1"/>
      <c r="I125" s="1"/>
      <c r="EG125" s="158"/>
    </row>
    <row r="126" spans="7:137" ht="14.25" customHeight="1" x14ac:dyDescent="0.3">
      <c r="G126" s="1"/>
      <c r="H126" s="1"/>
      <c r="I126" s="1"/>
      <c r="EG126" s="158"/>
    </row>
    <row r="127" spans="7:137" ht="14.25" customHeight="1" x14ac:dyDescent="0.3">
      <c r="G127" s="1"/>
      <c r="H127" s="1"/>
      <c r="I127" s="1"/>
      <c r="EG127" s="158"/>
    </row>
    <row r="128" spans="7:137" ht="14.25" customHeight="1" x14ac:dyDescent="0.3">
      <c r="G128" s="1"/>
      <c r="H128" s="1"/>
      <c r="I128" s="1"/>
      <c r="EG128" s="158"/>
    </row>
    <row r="129" spans="7:137" ht="14.25" customHeight="1" x14ac:dyDescent="0.3">
      <c r="G129" s="1"/>
      <c r="H129" s="1"/>
      <c r="I129" s="1"/>
      <c r="EG129" s="158"/>
    </row>
    <row r="130" spans="7:137" ht="14.25" customHeight="1" x14ac:dyDescent="0.3">
      <c r="G130" s="1"/>
      <c r="H130" s="1"/>
      <c r="I130" s="1"/>
      <c r="EG130" s="158"/>
    </row>
    <row r="131" spans="7:137" ht="14.25" customHeight="1" x14ac:dyDescent="0.3">
      <c r="G131" s="1"/>
      <c r="H131" s="1"/>
      <c r="I131" s="1"/>
      <c r="EG131" s="158"/>
    </row>
    <row r="132" spans="7:137" ht="14.25" customHeight="1" x14ac:dyDescent="0.3">
      <c r="G132" s="1"/>
      <c r="H132" s="1"/>
      <c r="I132" s="1"/>
      <c r="EG132" s="158"/>
    </row>
    <row r="133" spans="7:137" ht="14.25" customHeight="1" x14ac:dyDescent="0.3">
      <c r="G133" s="1"/>
      <c r="H133" s="1"/>
      <c r="I133" s="1"/>
      <c r="EG133" s="158"/>
    </row>
    <row r="134" spans="7:137" ht="14.25" customHeight="1" x14ac:dyDescent="0.3">
      <c r="G134" s="1"/>
      <c r="H134" s="1"/>
      <c r="I134" s="1"/>
      <c r="EG134" s="158"/>
    </row>
    <row r="135" spans="7:137" ht="14.25" customHeight="1" x14ac:dyDescent="0.3">
      <c r="G135" s="1"/>
      <c r="H135" s="1"/>
      <c r="I135" s="1"/>
      <c r="EG135" s="158"/>
    </row>
    <row r="136" spans="7:137" ht="14.25" customHeight="1" x14ac:dyDescent="0.3">
      <c r="G136" s="1"/>
      <c r="H136" s="1"/>
      <c r="I136" s="1"/>
      <c r="EG136" s="158"/>
    </row>
    <row r="137" spans="7:137" ht="14.25" customHeight="1" x14ac:dyDescent="0.3">
      <c r="G137" s="1"/>
      <c r="H137" s="1"/>
      <c r="I137" s="1"/>
      <c r="EG137" s="158"/>
    </row>
    <row r="138" spans="7:137" ht="14.25" customHeight="1" x14ac:dyDescent="0.3">
      <c r="G138" s="1"/>
      <c r="H138" s="1"/>
      <c r="I138" s="1"/>
      <c r="EG138" s="158"/>
    </row>
    <row r="139" spans="7:137" ht="14.25" customHeight="1" x14ac:dyDescent="0.3">
      <c r="G139" s="1"/>
      <c r="H139" s="1"/>
      <c r="I139" s="1"/>
      <c r="EG139" s="158"/>
    </row>
    <row r="140" spans="7:137" ht="14.25" customHeight="1" x14ac:dyDescent="0.3">
      <c r="G140" s="1"/>
      <c r="H140" s="1"/>
      <c r="I140" s="1"/>
      <c r="EG140" s="158"/>
    </row>
    <row r="141" spans="7:137" ht="14.25" customHeight="1" x14ac:dyDescent="0.3">
      <c r="G141" s="1"/>
      <c r="H141" s="1"/>
      <c r="I141" s="1"/>
      <c r="EG141" s="158"/>
    </row>
    <row r="142" spans="7:137" ht="14.25" customHeight="1" x14ac:dyDescent="0.3">
      <c r="G142" s="1"/>
      <c r="H142" s="1"/>
      <c r="I142" s="1"/>
      <c r="EG142" s="158"/>
    </row>
    <row r="143" spans="7:137" ht="14.25" customHeight="1" x14ac:dyDescent="0.3">
      <c r="G143" s="1"/>
      <c r="H143" s="1"/>
      <c r="I143" s="1"/>
      <c r="EG143" s="158"/>
    </row>
    <row r="144" spans="7:137" ht="14.25" customHeight="1" x14ac:dyDescent="0.3">
      <c r="G144" s="1"/>
      <c r="H144" s="1"/>
      <c r="I144" s="1"/>
      <c r="EG144" s="158"/>
    </row>
    <row r="145" spans="7:137" ht="14.25" customHeight="1" x14ac:dyDescent="0.3">
      <c r="G145" s="1"/>
      <c r="H145" s="1"/>
      <c r="I145" s="1"/>
      <c r="EG145" s="158"/>
    </row>
    <row r="146" spans="7:137" ht="14.25" customHeight="1" x14ac:dyDescent="0.3">
      <c r="G146" s="1"/>
      <c r="H146" s="1"/>
      <c r="I146" s="1"/>
      <c r="EG146" s="158"/>
    </row>
    <row r="147" spans="7:137" ht="14.25" customHeight="1" x14ac:dyDescent="0.3">
      <c r="G147" s="1"/>
      <c r="H147" s="1"/>
      <c r="I147" s="1"/>
      <c r="EG147" s="158"/>
    </row>
    <row r="148" spans="7:137" ht="14.25" customHeight="1" x14ac:dyDescent="0.3">
      <c r="G148" s="1"/>
      <c r="H148" s="1"/>
      <c r="I148" s="1"/>
      <c r="EG148" s="158"/>
    </row>
    <row r="149" spans="7:137" ht="14.25" customHeight="1" x14ac:dyDescent="0.3">
      <c r="G149" s="1"/>
      <c r="H149" s="1"/>
      <c r="I149" s="1"/>
      <c r="EG149" s="158"/>
    </row>
    <row r="150" spans="7:137" ht="14.25" customHeight="1" x14ac:dyDescent="0.3">
      <c r="G150" s="1"/>
      <c r="H150" s="1"/>
      <c r="I150" s="1"/>
      <c r="EG150" s="158"/>
    </row>
    <row r="151" spans="7:137" ht="14.25" customHeight="1" x14ac:dyDescent="0.3">
      <c r="G151" s="1"/>
      <c r="H151" s="1"/>
      <c r="I151" s="1"/>
      <c r="EG151" s="158"/>
    </row>
    <row r="152" spans="7:137" ht="14.25" customHeight="1" x14ac:dyDescent="0.3">
      <c r="G152" s="1"/>
      <c r="H152" s="1"/>
      <c r="I152" s="1"/>
      <c r="EG152" s="158"/>
    </row>
    <row r="153" spans="7:137" ht="14.25" customHeight="1" x14ac:dyDescent="0.3">
      <c r="G153" s="1"/>
      <c r="H153" s="1"/>
      <c r="I153" s="1"/>
      <c r="EG153" s="158"/>
    </row>
    <row r="154" spans="7:137" ht="14.25" customHeight="1" x14ac:dyDescent="0.3">
      <c r="G154" s="1"/>
      <c r="H154" s="1"/>
      <c r="I154" s="1"/>
      <c r="EG154" s="158"/>
    </row>
    <row r="155" spans="7:137" ht="14.25" customHeight="1" x14ac:dyDescent="0.3">
      <c r="G155" s="1"/>
      <c r="H155" s="1"/>
      <c r="I155" s="1"/>
      <c r="EG155" s="158"/>
    </row>
    <row r="156" spans="7:137" ht="14.25" customHeight="1" x14ac:dyDescent="0.3">
      <c r="G156" s="1"/>
      <c r="H156" s="1"/>
      <c r="I156" s="1"/>
      <c r="EG156" s="158"/>
    </row>
    <row r="157" spans="7:137" ht="14.25" customHeight="1" x14ac:dyDescent="0.3">
      <c r="G157" s="1"/>
      <c r="H157" s="1"/>
      <c r="I157" s="1"/>
      <c r="EG157" s="158"/>
    </row>
    <row r="158" spans="7:137" ht="14.25" customHeight="1" x14ac:dyDescent="0.3">
      <c r="G158" s="1"/>
      <c r="H158" s="1"/>
      <c r="I158" s="1"/>
      <c r="EG158" s="158"/>
    </row>
    <row r="159" spans="7:137" ht="14.25" customHeight="1" x14ac:dyDescent="0.3">
      <c r="G159" s="1"/>
      <c r="H159" s="1"/>
      <c r="I159" s="1"/>
      <c r="EG159" s="158"/>
    </row>
    <row r="160" spans="7:137" ht="14.25" customHeight="1" x14ac:dyDescent="0.3">
      <c r="G160" s="1"/>
      <c r="H160" s="1"/>
      <c r="I160" s="1"/>
      <c r="EG160" s="158"/>
    </row>
    <row r="161" spans="7:137" ht="14.25" customHeight="1" x14ac:dyDescent="0.3">
      <c r="G161" s="1"/>
      <c r="H161" s="1"/>
      <c r="I161" s="1"/>
      <c r="EG161" s="158"/>
    </row>
    <row r="162" spans="7:137" ht="14.25" customHeight="1" x14ac:dyDescent="0.3">
      <c r="G162" s="1"/>
      <c r="H162" s="1"/>
      <c r="I162" s="1"/>
      <c r="EG162" s="158"/>
    </row>
    <row r="163" spans="7:137" ht="14.25" customHeight="1" x14ac:dyDescent="0.3">
      <c r="G163" s="1"/>
      <c r="H163" s="1"/>
      <c r="I163" s="1"/>
      <c r="EG163" s="158"/>
    </row>
    <row r="164" spans="7:137" ht="14.25" customHeight="1" x14ac:dyDescent="0.3">
      <c r="G164" s="1"/>
      <c r="H164" s="1"/>
      <c r="I164" s="1"/>
      <c r="EG164" s="158"/>
    </row>
    <row r="165" spans="7:137" ht="14.25" customHeight="1" x14ac:dyDescent="0.3">
      <c r="G165" s="1"/>
      <c r="H165" s="1"/>
      <c r="I165" s="1"/>
      <c r="EG165" s="158"/>
    </row>
    <row r="166" spans="7:137" ht="14.25" customHeight="1" x14ac:dyDescent="0.3">
      <c r="G166" s="1"/>
      <c r="H166" s="1"/>
      <c r="I166" s="1"/>
      <c r="EG166" s="158"/>
    </row>
    <row r="167" spans="7:137" ht="14.25" customHeight="1" x14ac:dyDescent="0.3">
      <c r="G167" s="1"/>
      <c r="H167" s="1"/>
      <c r="I167" s="1"/>
      <c r="EG167" s="158"/>
    </row>
    <row r="168" spans="7:137" ht="14.25" customHeight="1" x14ac:dyDescent="0.3">
      <c r="G168" s="1"/>
      <c r="H168" s="1"/>
      <c r="I168" s="1"/>
      <c r="EG168" s="158"/>
    </row>
    <row r="169" spans="7:137" ht="14.25" customHeight="1" x14ac:dyDescent="0.3">
      <c r="G169" s="1"/>
      <c r="H169" s="1"/>
      <c r="I169" s="1"/>
      <c r="EG169" s="158"/>
    </row>
    <row r="170" spans="7:137" ht="14.25" customHeight="1" x14ac:dyDescent="0.3">
      <c r="G170" s="1"/>
      <c r="H170" s="1"/>
      <c r="I170" s="1"/>
      <c r="EG170" s="158"/>
    </row>
    <row r="171" spans="7:137" ht="14.25" customHeight="1" x14ac:dyDescent="0.3">
      <c r="G171" s="1"/>
      <c r="H171" s="1"/>
      <c r="I171" s="1"/>
      <c r="EG171" s="158"/>
    </row>
    <row r="172" spans="7:137" ht="14.25" customHeight="1" x14ac:dyDescent="0.3">
      <c r="G172" s="1"/>
      <c r="H172" s="1"/>
      <c r="I172" s="1"/>
      <c r="EG172" s="158"/>
    </row>
    <row r="173" spans="7:137" ht="14.25" customHeight="1" x14ac:dyDescent="0.3">
      <c r="G173" s="1"/>
      <c r="H173" s="1"/>
      <c r="I173" s="1"/>
      <c r="EG173" s="158"/>
    </row>
    <row r="174" spans="7:137" ht="14.25" customHeight="1" x14ac:dyDescent="0.3">
      <c r="G174" s="1"/>
      <c r="H174" s="1"/>
      <c r="I174" s="1"/>
      <c r="EG174" s="158"/>
    </row>
    <row r="175" spans="7:137" ht="14.25" customHeight="1" x14ac:dyDescent="0.3">
      <c r="G175" s="1"/>
      <c r="H175" s="1"/>
      <c r="I175" s="1"/>
      <c r="EG175" s="158"/>
    </row>
    <row r="176" spans="7:137" ht="14.25" customHeight="1" x14ac:dyDescent="0.3">
      <c r="G176" s="1"/>
      <c r="H176" s="1"/>
      <c r="I176" s="1"/>
      <c r="EG176" s="158"/>
    </row>
    <row r="177" spans="7:137" ht="14.25" customHeight="1" x14ac:dyDescent="0.3">
      <c r="G177" s="1"/>
      <c r="H177" s="1"/>
      <c r="I177" s="1"/>
      <c r="EG177" s="158"/>
    </row>
    <row r="178" spans="7:137" ht="14.25" customHeight="1" x14ac:dyDescent="0.3">
      <c r="G178" s="1"/>
      <c r="H178" s="1"/>
      <c r="I178" s="1"/>
      <c r="EG178" s="158"/>
    </row>
    <row r="179" spans="7:137" ht="14.25" customHeight="1" x14ac:dyDescent="0.3">
      <c r="G179" s="1"/>
      <c r="H179" s="1"/>
      <c r="I179" s="1"/>
      <c r="EG179" s="158"/>
    </row>
    <row r="180" spans="7:137" ht="14.25" customHeight="1" x14ac:dyDescent="0.3">
      <c r="G180" s="1"/>
      <c r="H180" s="1"/>
      <c r="I180" s="1"/>
      <c r="EG180" s="158"/>
    </row>
    <row r="181" spans="7:137" ht="14.25" customHeight="1" x14ac:dyDescent="0.3">
      <c r="G181" s="1"/>
      <c r="H181" s="1"/>
      <c r="I181" s="1"/>
      <c r="EG181" s="158"/>
    </row>
    <row r="182" spans="7:137" ht="14.25" customHeight="1" x14ac:dyDescent="0.3">
      <c r="G182" s="1"/>
      <c r="H182" s="1"/>
      <c r="I182" s="1"/>
      <c r="EG182" s="158"/>
    </row>
    <row r="183" spans="7:137" ht="14.25" customHeight="1" x14ac:dyDescent="0.3">
      <c r="G183" s="1"/>
      <c r="H183" s="1"/>
      <c r="I183" s="1"/>
      <c r="EG183" s="158"/>
    </row>
    <row r="184" spans="7:137" ht="14.25" customHeight="1" x14ac:dyDescent="0.3">
      <c r="G184" s="1"/>
      <c r="H184" s="1"/>
      <c r="I184" s="1"/>
      <c r="EG184" s="158"/>
    </row>
    <row r="185" spans="7:137" ht="14.25" customHeight="1" x14ac:dyDescent="0.3">
      <c r="G185" s="1"/>
      <c r="H185" s="1"/>
      <c r="I185" s="1"/>
      <c r="EG185" s="158"/>
    </row>
    <row r="186" spans="7:137" ht="14.25" customHeight="1" x14ac:dyDescent="0.3">
      <c r="G186" s="1"/>
      <c r="H186" s="1"/>
      <c r="I186" s="1"/>
      <c r="EG186" s="158"/>
    </row>
    <row r="187" spans="7:137" ht="14.25" customHeight="1" x14ac:dyDescent="0.3">
      <c r="G187" s="1"/>
      <c r="H187" s="1"/>
      <c r="I187" s="1"/>
      <c r="EG187" s="158"/>
    </row>
    <row r="188" spans="7:137" ht="14.25" customHeight="1" x14ac:dyDescent="0.3">
      <c r="G188" s="1"/>
      <c r="H188" s="1"/>
      <c r="I188" s="1"/>
      <c r="EG188" s="158"/>
    </row>
    <row r="189" spans="7:137" ht="14.25" customHeight="1" x14ac:dyDescent="0.3">
      <c r="G189" s="1"/>
      <c r="H189" s="1"/>
      <c r="I189" s="1"/>
      <c r="EG189" s="158"/>
    </row>
    <row r="190" spans="7:137" ht="14.25" customHeight="1" x14ac:dyDescent="0.3">
      <c r="G190" s="1"/>
      <c r="H190" s="1"/>
      <c r="I190" s="1"/>
      <c r="EG190" s="158"/>
    </row>
    <row r="191" spans="7:137" ht="14.25" customHeight="1" x14ac:dyDescent="0.3">
      <c r="G191" s="1"/>
      <c r="H191" s="1"/>
      <c r="I191" s="1"/>
      <c r="EG191" s="158"/>
    </row>
    <row r="192" spans="7:137" ht="14.25" customHeight="1" x14ac:dyDescent="0.3">
      <c r="G192" s="1"/>
      <c r="H192" s="1"/>
      <c r="I192" s="1"/>
      <c r="EG192" s="158"/>
    </row>
    <row r="193" spans="7:137" ht="14.25" customHeight="1" x14ac:dyDescent="0.3">
      <c r="G193" s="1"/>
      <c r="H193" s="1"/>
      <c r="I193" s="1"/>
      <c r="EG193" s="158"/>
    </row>
    <row r="194" spans="7:137" ht="14.25" customHeight="1" x14ac:dyDescent="0.3">
      <c r="G194" s="1"/>
      <c r="H194" s="1"/>
      <c r="I194" s="1"/>
      <c r="EG194" s="158"/>
    </row>
    <row r="195" spans="7:137" ht="14.25" customHeight="1" x14ac:dyDescent="0.3">
      <c r="G195" s="1"/>
      <c r="H195" s="1"/>
      <c r="I195" s="1"/>
      <c r="EG195" s="158"/>
    </row>
    <row r="196" spans="7:137" ht="14.25" customHeight="1" x14ac:dyDescent="0.3">
      <c r="G196" s="1"/>
      <c r="H196" s="1"/>
      <c r="I196" s="1"/>
      <c r="EG196" s="158"/>
    </row>
    <row r="197" spans="7:137" ht="14.25" customHeight="1" x14ac:dyDescent="0.3">
      <c r="G197" s="1"/>
      <c r="H197" s="1"/>
      <c r="I197" s="1"/>
      <c r="EG197" s="158"/>
    </row>
    <row r="198" spans="7:137" ht="14.25" customHeight="1" x14ac:dyDescent="0.3">
      <c r="G198" s="1"/>
      <c r="H198" s="1"/>
      <c r="I198" s="1"/>
      <c r="EG198" s="158"/>
    </row>
    <row r="199" spans="7:137" ht="14.25" customHeight="1" x14ac:dyDescent="0.3">
      <c r="G199" s="1"/>
      <c r="H199" s="1"/>
      <c r="I199" s="1"/>
      <c r="EG199" s="158"/>
    </row>
    <row r="200" spans="7:137" ht="14.25" customHeight="1" x14ac:dyDescent="0.3">
      <c r="G200" s="1"/>
      <c r="H200" s="1"/>
      <c r="I200" s="1"/>
      <c r="EG200" s="158"/>
    </row>
    <row r="201" spans="7:137" ht="14.25" customHeight="1" x14ac:dyDescent="0.3">
      <c r="G201" s="1"/>
      <c r="H201" s="1"/>
      <c r="I201" s="1"/>
      <c r="EG201" s="158"/>
    </row>
    <row r="202" spans="7:137" ht="14.25" customHeight="1" x14ac:dyDescent="0.3">
      <c r="G202" s="1"/>
      <c r="H202" s="1"/>
      <c r="I202" s="1"/>
      <c r="EG202" s="158"/>
    </row>
    <row r="203" spans="7:137" ht="14.25" customHeight="1" x14ac:dyDescent="0.3">
      <c r="G203" s="1"/>
      <c r="H203" s="1"/>
      <c r="I203" s="1"/>
      <c r="EG203" s="158"/>
    </row>
    <row r="204" spans="7:137" ht="14.25" customHeight="1" x14ac:dyDescent="0.3">
      <c r="G204" s="1"/>
      <c r="H204" s="1"/>
      <c r="I204" s="1"/>
      <c r="EG204" s="158"/>
    </row>
    <row r="205" spans="7:137" ht="14.25" customHeight="1" x14ac:dyDescent="0.3">
      <c r="G205" s="1"/>
      <c r="H205" s="1"/>
      <c r="I205" s="1"/>
      <c r="EG205" s="158"/>
    </row>
    <row r="206" spans="7:137" ht="14.25" customHeight="1" x14ac:dyDescent="0.3">
      <c r="G206" s="1"/>
      <c r="H206" s="1"/>
      <c r="I206" s="1"/>
      <c r="EG206" s="158"/>
    </row>
    <row r="207" spans="7:137" ht="14.25" customHeight="1" x14ac:dyDescent="0.3">
      <c r="G207" s="1"/>
      <c r="H207" s="1"/>
      <c r="I207" s="1"/>
      <c r="EG207" s="158"/>
    </row>
    <row r="208" spans="7:137" ht="14.25" customHeight="1" x14ac:dyDescent="0.3">
      <c r="G208" s="1"/>
      <c r="H208" s="1"/>
      <c r="I208" s="1"/>
      <c r="EG208" s="158"/>
    </row>
    <row r="209" spans="7:137" ht="14.25" customHeight="1" x14ac:dyDescent="0.3">
      <c r="G209" s="1"/>
      <c r="H209" s="1"/>
      <c r="I209" s="1"/>
      <c r="EG209" s="158"/>
    </row>
    <row r="210" spans="7:137" ht="14.25" customHeight="1" x14ac:dyDescent="0.3">
      <c r="G210" s="1"/>
      <c r="H210" s="1"/>
      <c r="I210" s="1"/>
      <c r="EG210" s="158"/>
    </row>
    <row r="211" spans="7:137" ht="14.25" customHeight="1" x14ac:dyDescent="0.3">
      <c r="G211" s="1"/>
      <c r="H211" s="1"/>
      <c r="I211" s="1"/>
      <c r="EG211" s="158"/>
    </row>
    <row r="212" spans="7:137" ht="14.25" customHeight="1" x14ac:dyDescent="0.3">
      <c r="G212" s="1"/>
      <c r="H212" s="1"/>
      <c r="I212" s="1"/>
      <c r="EG212" s="158"/>
    </row>
    <row r="213" spans="7:137" ht="14.25" customHeight="1" x14ac:dyDescent="0.3">
      <c r="G213" s="1"/>
      <c r="H213" s="1"/>
      <c r="I213" s="1"/>
      <c r="EG213" s="158"/>
    </row>
    <row r="214" spans="7:137" ht="14.25" customHeight="1" x14ac:dyDescent="0.3">
      <c r="G214" s="1"/>
      <c r="H214" s="1"/>
      <c r="I214" s="1"/>
      <c r="EG214" s="158"/>
    </row>
    <row r="215" spans="7:137" ht="14.25" customHeight="1" x14ac:dyDescent="0.3">
      <c r="G215" s="1"/>
      <c r="H215" s="1"/>
      <c r="I215" s="1"/>
      <c r="EG215" s="158"/>
    </row>
    <row r="216" spans="7:137" ht="14.25" customHeight="1" x14ac:dyDescent="0.3">
      <c r="G216" s="1"/>
      <c r="H216" s="1"/>
      <c r="I216" s="1"/>
      <c r="EG216" s="158"/>
    </row>
    <row r="217" spans="7:137" ht="14.25" customHeight="1" x14ac:dyDescent="0.3">
      <c r="G217" s="1"/>
      <c r="H217" s="1"/>
      <c r="I217" s="1"/>
      <c r="EG217" s="158"/>
    </row>
    <row r="218" spans="7:137" ht="14.25" customHeight="1" x14ac:dyDescent="0.3">
      <c r="G218" s="1"/>
      <c r="H218" s="1"/>
      <c r="I218" s="1"/>
      <c r="EG218" s="158"/>
    </row>
    <row r="219" spans="7:137" ht="14.25" customHeight="1" x14ac:dyDescent="0.3">
      <c r="G219" s="1"/>
      <c r="H219" s="1"/>
      <c r="I219" s="1"/>
      <c r="EG219" s="158"/>
    </row>
    <row r="220" spans="7:137" ht="14.25" customHeight="1" x14ac:dyDescent="0.3">
      <c r="G220" s="1"/>
      <c r="H220" s="1"/>
      <c r="I220" s="1"/>
      <c r="EG220" s="158"/>
    </row>
    <row r="221" spans="7:137" ht="14.25" customHeight="1" x14ac:dyDescent="0.3">
      <c r="G221" s="1"/>
      <c r="H221" s="1"/>
      <c r="I221" s="1"/>
      <c r="EG221" s="158"/>
    </row>
    <row r="222" spans="7:137" ht="14.25" customHeight="1" x14ac:dyDescent="0.3">
      <c r="G222" s="1"/>
      <c r="H222" s="1"/>
      <c r="I222" s="1"/>
      <c r="EG222" s="158"/>
    </row>
    <row r="223" spans="7:137" ht="14.25" customHeight="1" x14ac:dyDescent="0.3">
      <c r="G223" s="1"/>
      <c r="H223" s="1"/>
      <c r="I223" s="1"/>
      <c r="EG223" s="158"/>
    </row>
    <row r="224" spans="7:137" ht="14.25" customHeight="1" x14ac:dyDescent="0.3">
      <c r="G224" s="1"/>
      <c r="H224" s="1"/>
      <c r="I224" s="1"/>
      <c r="EG224" s="158"/>
    </row>
    <row r="225" spans="7:137" ht="14.25" customHeight="1" x14ac:dyDescent="0.3">
      <c r="G225" s="1"/>
      <c r="H225" s="1"/>
      <c r="I225" s="1"/>
      <c r="EG225" s="158"/>
    </row>
    <row r="226" spans="7:137" ht="14.25" customHeight="1" x14ac:dyDescent="0.3">
      <c r="G226" s="1"/>
      <c r="H226" s="1"/>
      <c r="I226" s="1"/>
      <c r="EG226" s="158"/>
    </row>
    <row r="227" spans="7:137" ht="14.25" customHeight="1" x14ac:dyDescent="0.3">
      <c r="G227" s="1"/>
      <c r="H227" s="1"/>
      <c r="I227" s="1"/>
      <c r="EG227" s="158"/>
    </row>
    <row r="228" spans="7:137" ht="14.25" customHeight="1" x14ac:dyDescent="0.3">
      <c r="G228" s="1"/>
      <c r="H228" s="1"/>
      <c r="I228" s="1"/>
      <c r="EG228" s="158"/>
    </row>
    <row r="229" spans="7:137" ht="14.25" customHeight="1" x14ac:dyDescent="0.3">
      <c r="G229" s="1"/>
      <c r="H229" s="1"/>
      <c r="I229" s="1"/>
      <c r="EG229" s="158"/>
    </row>
    <row r="230" spans="7:137" ht="14.25" customHeight="1" x14ac:dyDescent="0.3">
      <c r="G230" s="1"/>
      <c r="H230" s="1"/>
      <c r="I230" s="1"/>
      <c r="EG230" s="158"/>
    </row>
    <row r="231" spans="7:137" ht="14.25" customHeight="1" x14ac:dyDescent="0.3">
      <c r="G231" s="1"/>
      <c r="H231" s="1"/>
      <c r="I231" s="1"/>
      <c r="EG231" s="158"/>
    </row>
    <row r="232" spans="7:137" ht="14.25" customHeight="1" x14ac:dyDescent="0.3">
      <c r="G232" s="1"/>
      <c r="H232" s="1"/>
      <c r="I232" s="1"/>
      <c r="EG232" s="158"/>
    </row>
    <row r="233" spans="7:137" ht="14.25" customHeight="1" x14ac:dyDescent="0.3">
      <c r="G233" s="1"/>
      <c r="H233" s="1"/>
      <c r="I233" s="1"/>
      <c r="EG233" s="158"/>
    </row>
    <row r="234" spans="7:137" ht="14.25" customHeight="1" x14ac:dyDescent="0.3">
      <c r="G234" s="1"/>
      <c r="H234" s="1"/>
      <c r="I234" s="1"/>
      <c r="EG234" s="158"/>
    </row>
    <row r="235" spans="7:137" ht="14.25" customHeight="1" x14ac:dyDescent="0.3">
      <c r="G235" s="1"/>
      <c r="H235" s="1"/>
      <c r="I235" s="1"/>
      <c r="EG235" s="158"/>
    </row>
    <row r="236" spans="7:137" ht="14.25" customHeight="1" x14ac:dyDescent="0.3">
      <c r="G236" s="1"/>
      <c r="H236" s="1"/>
      <c r="I236" s="1"/>
      <c r="EG236" s="158"/>
    </row>
    <row r="237" spans="7:137" ht="14.25" customHeight="1" x14ac:dyDescent="0.3">
      <c r="G237" s="1"/>
      <c r="H237" s="1"/>
      <c r="I237" s="1"/>
      <c r="EG237" s="158"/>
    </row>
    <row r="238" spans="7:137" ht="14.25" customHeight="1" x14ac:dyDescent="0.3">
      <c r="G238" s="1"/>
      <c r="H238" s="1"/>
      <c r="I238" s="1"/>
      <c r="EG238" s="158"/>
    </row>
    <row r="239" spans="7:137" ht="14.25" customHeight="1" x14ac:dyDescent="0.3">
      <c r="G239" s="1"/>
      <c r="H239" s="1"/>
      <c r="I239" s="1"/>
      <c r="EG239" s="158"/>
    </row>
    <row r="240" spans="7:137" ht="14.25" customHeight="1" x14ac:dyDescent="0.3">
      <c r="G240" s="1"/>
      <c r="H240" s="1"/>
      <c r="I240" s="1"/>
      <c r="EG240" s="158"/>
    </row>
    <row r="241" spans="7:137" ht="14.25" customHeight="1" x14ac:dyDescent="0.3">
      <c r="G241" s="1"/>
      <c r="H241" s="1"/>
      <c r="I241" s="1"/>
      <c r="EG241" s="158"/>
    </row>
    <row r="242" spans="7:137" ht="14.25" customHeight="1" x14ac:dyDescent="0.3">
      <c r="G242" s="1"/>
      <c r="H242" s="1"/>
      <c r="I242" s="1"/>
      <c r="EG242" s="158"/>
    </row>
    <row r="243" spans="7:137" ht="14.25" customHeight="1" x14ac:dyDescent="0.3">
      <c r="G243" s="1"/>
      <c r="H243" s="1"/>
      <c r="I243" s="1"/>
      <c r="EG243" s="158"/>
    </row>
    <row r="244" spans="7:137" ht="14.25" customHeight="1" x14ac:dyDescent="0.3">
      <c r="G244" s="1"/>
      <c r="H244" s="1"/>
      <c r="I244" s="1"/>
      <c r="EG244" s="158"/>
    </row>
    <row r="245" spans="7:137" ht="14.25" customHeight="1" x14ac:dyDescent="0.3">
      <c r="G245" s="1"/>
      <c r="H245" s="1"/>
      <c r="I245" s="1"/>
      <c r="EG245" s="158"/>
    </row>
    <row r="246" spans="7:137" ht="14.25" customHeight="1" x14ac:dyDescent="0.3">
      <c r="G246" s="1"/>
      <c r="H246" s="1"/>
      <c r="I246" s="1"/>
      <c r="EG246" s="158"/>
    </row>
    <row r="247" spans="7:137" ht="14.25" customHeight="1" x14ac:dyDescent="0.3">
      <c r="G247" s="1"/>
      <c r="H247" s="1"/>
      <c r="I247" s="1"/>
      <c r="EG247" s="158"/>
    </row>
    <row r="248" spans="7:137" ht="14.25" customHeight="1" x14ac:dyDescent="0.3">
      <c r="G248" s="1"/>
      <c r="H248" s="1"/>
      <c r="I248" s="1"/>
      <c r="EG248" s="158"/>
    </row>
    <row r="249" spans="7:137" ht="14.25" customHeight="1" x14ac:dyDescent="0.3">
      <c r="G249" s="1"/>
      <c r="H249" s="1"/>
      <c r="I249" s="1"/>
      <c r="EG249" s="158"/>
    </row>
    <row r="250" spans="7:137" ht="14.25" customHeight="1" x14ac:dyDescent="0.3">
      <c r="G250" s="1"/>
      <c r="H250" s="1"/>
      <c r="I250" s="1"/>
      <c r="EG250" s="158"/>
    </row>
    <row r="251" spans="7:137" ht="14.25" customHeight="1" x14ac:dyDescent="0.3">
      <c r="G251" s="1"/>
      <c r="H251" s="1"/>
      <c r="I251" s="1"/>
      <c r="EG251" s="158"/>
    </row>
    <row r="252" spans="7:137" ht="14.25" customHeight="1" x14ac:dyDescent="0.3">
      <c r="G252" s="1"/>
      <c r="H252" s="1"/>
      <c r="I252" s="1"/>
      <c r="EG252" s="158"/>
    </row>
    <row r="253" spans="7:137" ht="14.25" customHeight="1" x14ac:dyDescent="0.3">
      <c r="G253" s="1"/>
      <c r="H253" s="1"/>
      <c r="I253" s="1"/>
      <c r="EG253" s="158"/>
    </row>
    <row r="254" spans="7:137" ht="14.25" customHeight="1" x14ac:dyDescent="0.3">
      <c r="G254" s="1"/>
      <c r="H254" s="1"/>
      <c r="I254" s="1"/>
      <c r="EG254" s="158"/>
    </row>
    <row r="255" spans="7:137" ht="14.25" customHeight="1" x14ac:dyDescent="0.3">
      <c r="G255" s="1"/>
      <c r="H255" s="1"/>
      <c r="I255" s="1"/>
      <c r="EG255" s="158"/>
    </row>
    <row r="256" spans="7:137" ht="14.25" customHeight="1" x14ac:dyDescent="0.3">
      <c r="G256" s="1"/>
      <c r="H256" s="1"/>
      <c r="I256" s="1"/>
      <c r="EG256" s="158"/>
    </row>
    <row r="257" spans="7:137" ht="14.25" customHeight="1" x14ac:dyDescent="0.3">
      <c r="G257" s="1"/>
      <c r="H257" s="1"/>
      <c r="I257" s="1"/>
      <c r="EG257" s="158"/>
    </row>
    <row r="258" spans="7:137" ht="14.25" customHeight="1" x14ac:dyDescent="0.3">
      <c r="G258" s="1"/>
      <c r="H258" s="1"/>
      <c r="I258" s="1"/>
      <c r="EG258" s="158"/>
    </row>
    <row r="259" spans="7:137" ht="14.25" customHeight="1" x14ac:dyDescent="0.3">
      <c r="G259" s="1"/>
      <c r="H259" s="1"/>
      <c r="I259" s="1"/>
      <c r="EG259" s="158"/>
    </row>
    <row r="260" spans="7:137" ht="14.25" customHeight="1" x14ac:dyDescent="0.3">
      <c r="G260" s="1"/>
      <c r="H260" s="1"/>
      <c r="I260" s="1"/>
      <c r="EG260" s="158"/>
    </row>
    <row r="261" spans="7:137" ht="14.25" customHeight="1" x14ac:dyDescent="0.3">
      <c r="G261" s="1"/>
      <c r="H261" s="1"/>
      <c r="I261" s="1"/>
      <c r="EG261" s="158"/>
    </row>
    <row r="262" spans="7:137" ht="14.25" customHeight="1" x14ac:dyDescent="0.3">
      <c r="G262" s="1"/>
      <c r="H262" s="1"/>
      <c r="I262" s="1"/>
      <c r="EG262" s="158"/>
    </row>
    <row r="263" spans="7:137" ht="14.25" customHeight="1" x14ac:dyDescent="0.3">
      <c r="G263" s="1"/>
      <c r="H263" s="1"/>
      <c r="I263" s="1"/>
      <c r="EG263" s="158"/>
    </row>
    <row r="264" spans="7:137" ht="14.25" customHeight="1" x14ac:dyDescent="0.3">
      <c r="G264" s="1"/>
      <c r="H264" s="1"/>
      <c r="I264" s="1"/>
      <c r="EG264" s="158"/>
    </row>
    <row r="265" spans="7:137" ht="14.25" customHeight="1" x14ac:dyDescent="0.3">
      <c r="G265" s="1"/>
      <c r="H265" s="1"/>
      <c r="I265" s="1"/>
      <c r="EG265" s="158"/>
    </row>
    <row r="266" spans="7:137" ht="14.25" customHeight="1" x14ac:dyDescent="0.3">
      <c r="G266" s="1"/>
      <c r="H266" s="1"/>
      <c r="I266" s="1"/>
      <c r="EG266" s="158"/>
    </row>
    <row r="267" spans="7:137" ht="14.25" customHeight="1" x14ac:dyDescent="0.3">
      <c r="G267" s="1"/>
      <c r="H267" s="1"/>
      <c r="I267" s="1"/>
      <c r="EG267" s="158"/>
    </row>
    <row r="268" spans="7:137" ht="14.25" customHeight="1" x14ac:dyDescent="0.3">
      <c r="G268" s="1"/>
      <c r="H268" s="1"/>
      <c r="I268" s="1"/>
      <c r="EG268" s="158"/>
    </row>
    <row r="269" spans="7:137" ht="14.25" customHeight="1" x14ac:dyDescent="0.3">
      <c r="G269" s="1"/>
      <c r="H269" s="1"/>
      <c r="I269" s="1"/>
      <c r="EG269" s="158"/>
    </row>
    <row r="270" spans="7:137" ht="14.25" customHeight="1" x14ac:dyDescent="0.3">
      <c r="G270" s="1"/>
      <c r="H270" s="1"/>
      <c r="I270" s="1"/>
      <c r="EG270" s="158"/>
    </row>
    <row r="271" spans="7:137" ht="14.25" customHeight="1" x14ac:dyDescent="0.3">
      <c r="G271" s="1"/>
      <c r="H271" s="1"/>
      <c r="I271" s="1"/>
      <c r="EG271" s="158"/>
    </row>
    <row r="272" spans="7:137" ht="14.25" customHeight="1" x14ac:dyDescent="0.3">
      <c r="G272" s="1"/>
      <c r="H272" s="1"/>
      <c r="I272" s="1"/>
      <c r="EG272" s="158"/>
    </row>
    <row r="273" spans="7:137" ht="14.25" customHeight="1" x14ac:dyDescent="0.3">
      <c r="G273" s="1"/>
      <c r="H273" s="1"/>
      <c r="I273" s="1"/>
      <c r="EG273" s="158"/>
    </row>
    <row r="274" spans="7:137" ht="14.25" customHeight="1" x14ac:dyDescent="0.3">
      <c r="G274" s="1"/>
      <c r="H274" s="1"/>
      <c r="I274" s="1"/>
      <c r="EG274" s="158"/>
    </row>
    <row r="275" spans="7:137" ht="14.25" customHeight="1" x14ac:dyDescent="0.3">
      <c r="G275" s="1"/>
      <c r="H275" s="1"/>
      <c r="I275" s="1"/>
      <c r="EG275" s="158"/>
    </row>
    <row r="276" spans="7:137" ht="14.25" customHeight="1" x14ac:dyDescent="0.3">
      <c r="G276" s="1"/>
      <c r="H276" s="1"/>
      <c r="I276" s="1"/>
      <c r="EG276" s="158"/>
    </row>
    <row r="277" spans="7:137" ht="14.25" customHeight="1" x14ac:dyDescent="0.3">
      <c r="G277" s="1"/>
      <c r="H277" s="1"/>
      <c r="I277" s="1"/>
      <c r="EG277" s="158"/>
    </row>
    <row r="278" spans="7:137" ht="14.25" customHeight="1" x14ac:dyDescent="0.3">
      <c r="G278" s="1"/>
      <c r="H278" s="1"/>
      <c r="I278" s="1"/>
      <c r="EG278" s="158"/>
    </row>
    <row r="279" spans="7:137" ht="14.25" customHeight="1" x14ac:dyDescent="0.3">
      <c r="G279" s="1"/>
      <c r="H279" s="1"/>
      <c r="I279" s="1"/>
      <c r="EG279" s="158"/>
    </row>
    <row r="280" spans="7:137" ht="14.25" customHeight="1" x14ac:dyDescent="0.3">
      <c r="G280" s="1"/>
      <c r="H280" s="1"/>
      <c r="I280" s="1"/>
      <c r="EG280" s="158"/>
    </row>
    <row r="281" spans="7:137" ht="14.25" customHeight="1" x14ac:dyDescent="0.3">
      <c r="G281" s="1"/>
      <c r="H281" s="1"/>
      <c r="I281" s="1"/>
      <c r="EG281" s="158"/>
    </row>
    <row r="282" spans="7:137" ht="14.25" customHeight="1" x14ac:dyDescent="0.3">
      <c r="G282" s="1"/>
      <c r="H282" s="1"/>
      <c r="I282" s="1"/>
      <c r="EG282" s="158"/>
    </row>
    <row r="283" spans="7:137" ht="14.25" customHeight="1" x14ac:dyDescent="0.3">
      <c r="G283" s="1"/>
      <c r="H283" s="1"/>
      <c r="I283" s="1"/>
      <c r="EG283" s="158"/>
    </row>
    <row r="284" spans="7:137" ht="14.25" customHeight="1" x14ac:dyDescent="0.3">
      <c r="G284" s="1"/>
      <c r="H284" s="1"/>
      <c r="I284" s="1"/>
      <c r="EG284" s="158"/>
    </row>
    <row r="285" spans="7:137" ht="14.25" customHeight="1" x14ac:dyDescent="0.3">
      <c r="G285" s="1"/>
      <c r="H285" s="1"/>
      <c r="I285" s="1"/>
      <c r="EG285" s="158"/>
    </row>
    <row r="286" spans="7:137" ht="14.25" customHeight="1" x14ac:dyDescent="0.3">
      <c r="G286" s="1"/>
      <c r="H286" s="1"/>
      <c r="I286" s="1"/>
      <c r="EG286" s="158"/>
    </row>
    <row r="287" spans="7:137" ht="14.25" customHeight="1" x14ac:dyDescent="0.3">
      <c r="G287" s="1"/>
      <c r="H287" s="1"/>
      <c r="I287" s="1"/>
      <c r="EG287" s="158"/>
    </row>
    <row r="288" spans="7:137" ht="14.25" customHeight="1" x14ac:dyDescent="0.3">
      <c r="G288" s="1"/>
      <c r="H288" s="1"/>
      <c r="I288" s="1"/>
      <c r="EG288" s="158"/>
    </row>
    <row r="289" spans="7:137" ht="14.25" customHeight="1" x14ac:dyDescent="0.3">
      <c r="G289" s="1"/>
      <c r="H289" s="1"/>
      <c r="I289" s="1"/>
      <c r="EG289" s="158"/>
    </row>
    <row r="290" spans="7:137" ht="14.25" customHeight="1" x14ac:dyDescent="0.3">
      <c r="G290" s="1"/>
      <c r="H290" s="1"/>
      <c r="I290" s="1"/>
      <c r="EG290" s="158"/>
    </row>
    <row r="291" spans="7:137" ht="14.25" customHeight="1" x14ac:dyDescent="0.3">
      <c r="G291" s="1"/>
      <c r="H291" s="1"/>
      <c r="I291" s="1"/>
      <c r="EG291" s="158"/>
    </row>
    <row r="292" spans="7:137" ht="14.25" customHeight="1" x14ac:dyDescent="0.3">
      <c r="G292" s="1"/>
      <c r="H292" s="1"/>
      <c r="I292" s="1"/>
      <c r="EG292" s="158"/>
    </row>
    <row r="293" spans="7:137" ht="14.25" customHeight="1" x14ac:dyDescent="0.3">
      <c r="G293" s="1"/>
      <c r="H293" s="1"/>
      <c r="I293" s="1"/>
      <c r="EG293" s="158"/>
    </row>
    <row r="294" spans="7:137" ht="14.25" customHeight="1" x14ac:dyDescent="0.3">
      <c r="G294" s="1"/>
      <c r="H294" s="1"/>
      <c r="I294" s="1"/>
      <c r="EG294" s="158"/>
    </row>
    <row r="295" spans="7:137" ht="14.25" customHeight="1" x14ac:dyDescent="0.3">
      <c r="EG295" s="158"/>
    </row>
    <row r="296" spans="7:137" ht="14.25" customHeight="1" x14ac:dyDescent="0.3">
      <c r="EG296" s="158"/>
    </row>
    <row r="297" spans="7:137" ht="14.25" customHeight="1" x14ac:dyDescent="0.3">
      <c r="EG297" s="158"/>
    </row>
    <row r="298" spans="7:137" ht="14.25" customHeight="1" x14ac:dyDescent="0.3">
      <c r="EG298" s="158"/>
    </row>
    <row r="299" spans="7:137" ht="14.25" customHeight="1" x14ac:dyDescent="0.3">
      <c r="EG299" s="158"/>
    </row>
    <row r="300" spans="7:137" ht="14.25" customHeight="1" x14ac:dyDescent="0.3">
      <c r="EG300" s="158"/>
    </row>
    <row r="301" spans="7:137" ht="14.25" customHeight="1" x14ac:dyDescent="0.3">
      <c r="EG301" s="158"/>
    </row>
    <row r="302" spans="7:137" ht="14.25" customHeight="1" x14ac:dyDescent="0.3">
      <c r="EG302" s="158"/>
    </row>
    <row r="303" spans="7:137" ht="14.25" customHeight="1" x14ac:dyDescent="0.3">
      <c r="EG303" s="158"/>
    </row>
    <row r="304" spans="7:137" ht="14.25" customHeight="1" x14ac:dyDescent="0.3">
      <c r="EG304" s="158"/>
    </row>
    <row r="305" spans="137:137" ht="14.25" customHeight="1" x14ac:dyDescent="0.3">
      <c r="EG305" s="158"/>
    </row>
    <row r="306" spans="137:137" ht="14.25" customHeight="1" x14ac:dyDescent="0.3">
      <c r="EG306" s="158"/>
    </row>
    <row r="307" spans="137:137" ht="14.25" customHeight="1" x14ac:dyDescent="0.3">
      <c r="EG307" s="158"/>
    </row>
    <row r="308" spans="137:137" ht="14.25" customHeight="1" x14ac:dyDescent="0.3">
      <c r="EG308" s="158"/>
    </row>
    <row r="309" spans="137:137" ht="14.25" customHeight="1" x14ac:dyDescent="0.3">
      <c r="EG309" s="158"/>
    </row>
    <row r="310" spans="137:137" ht="14.25" customHeight="1" x14ac:dyDescent="0.3">
      <c r="EG310" s="158"/>
    </row>
    <row r="311" spans="137:137" ht="14.25" customHeight="1" x14ac:dyDescent="0.3">
      <c r="EG311" s="158"/>
    </row>
    <row r="312" spans="137:137" ht="14.25" customHeight="1" x14ac:dyDescent="0.3">
      <c r="EG312" s="158"/>
    </row>
    <row r="313" spans="137:137" ht="14.25" customHeight="1" x14ac:dyDescent="0.3">
      <c r="EG313" s="158"/>
    </row>
    <row r="314" spans="137:137" ht="14.25" customHeight="1" x14ac:dyDescent="0.3">
      <c r="EG314" s="158"/>
    </row>
    <row r="315" spans="137:137" ht="14.25" customHeight="1" x14ac:dyDescent="0.3">
      <c r="EG315" s="158"/>
    </row>
    <row r="316" spans="137:137" ht="14.25" customHeight="1" x14ac:dyDescent="0.3">
      <c r="EG316" s="158"/>
    </row>
    <row r="317" spans="137:137" ht="14.25" customHeight="1" x14ac:dyDescent="0.3">
      <c r="EG317" s="158"/>
    </row>
    <row r="318" spans="137:137" ht="14.25" customHeight="1" x14ac:dyDescent="0.3">
      <c r="EG318" s="158"/>
    </row>
    <row r="319" spans="137:137" ht="14.25" customHeight="1" x14ac:dyDescent="0.3">
      <c r="EG319" s="158"/>
    </row>
    <row r="320" spans="137:137" ht="14.25" customHeight="1" x14ac:dyDescent="0.3">
      <c r="EG320" s="158"/>
    </row>
    <row r="321" spans="137:137" ht="14.25" customHeight="1" x14ac:dyDescent="0.3">
      <c r="EG321" s="158"/>
    </row>
    <row r="322" spans="137:137" ht="14.25" customHeight="1" x14ac:dyDescent="0.3">
      <c r="EG322" s="158"/>
    </row>
    <row r="323" spans="137:137" ht="14.25" customHeight="1" x14ac:dyDescent="0.3">
      <c r="EG323" s="158"/>
    </row>
    <row r="324" spans="137:137" ht="14.25" customHeight="1" x14ac:dyDescent="0.3">
      <c r="EG324" s="158"/>
    </row>
    <row r="325" spans="137:137" ht="14.25" customHeight="1" x14ac:dyDescent="0.3">
      <c r="EG325" s="158"/>
    </row>
    <row r="326" spans="137:137" ht="14.25" customHeight="1" x14ac:dyDescent="0.3">
      <c r="EG326" s="158"/>
    </row>
    <row r="327" spans="137:137" ht="14.25" customHeight="1" x14ac:dyDescent="0.3">
      <c r="EG327" s="158"/>
    </row>
    <row r="328" spans="137:137" ht="14.25" customHeight="1" x14ac:dyDescent="0.3">
      <c r="EG328" s="158"/>
    </row>
    <row r="329" spans="137:137" ht="14.25" customHeight="1" x14ac:dyDescent="0.3">
      <c r="EG329" s="158"/>
    </row>
    <row r="330" spans="137:137" ht="14.25" customHeight="1" x14ac:dyDescent="0.3">
      <c r="EG330" s="158"/>
    </row>
    <row r="331" spans="137:137" ht="14.25" customHeight="1" x14ac:dyDescent="0.3">
      <c r="EG331" s="158"/>
    </row>
    <row r="332" spans="137:137" ht="14.25" customHeight="1" x14ac:dyDescent="0.3">
      <c r="EG332" s="158"/>
    </row>
    <row r="333" spans="137:137" ht="14.25" customHeight="1" x14ac:dyDescent="0.3">
      <c r="EG333" s="158"/>
    </row>
    <row r="334" spans="137:137" ht="14.25" customHeight="1" x14ac:dyDescent="0.3">
      <c r="EG334" s="158"/>
    </row>
    <row r="335" spans="137:137" ht="14.25" customHeight="1" x14ac:dyDescent="0.3">
      <c r="EG335" s="158"/>
    </row>
    <row r="336" spans="137:137" ht="14.25" customHeight="1" x14ac:dyDescent="0.3">
      <c r="EG336" s="158"/>
    </row>
    <row r="337" spans="137:137" ht="14.25" customHeight="1" x14ac:dyDescent="0.3">
      <c r="EG337" s="158"/>
    </row>
    <row r="338" spans="137:137" ht="14.25" customHeight="1" x14ac:dyDescent="0.3">
      <c r="EG338" s="158"/>
    </row>
    <row r="339" spans="137:137" ht="14.25" customHeight="1" x14ac:dyDescent="0.3">
      <c r="EG339" s="158"/>
    </row>
    <row r="340" spans="137:137" ht="14.25" customHeight="1" x14ac:dyDescent="0.3">
      <c r="EG340" s="158"/>
    </row>
    <row r="341" spans="137:137" ht="14.25" customHeight="1" x14ac:dyDescent="0.3">
      <c r="EG341" s="158"/>
    </row>
    <row r="342" spans="137:137" ht="14.25" customHeight="1" x14ac:dyDescent="0.3">
      <c r="EG342" s="158"/>
    </row>
    <row r="343" spans="137:137" ht="14.25" customHeight="1" x14ac:dyDescent="0.3">
      <c r="EG343" s="158"/>
    </row>
    <row r="344" spans="137:137" ht="14.25" customHeight="1" x14ac:dyDescent="0.3">
      <c r="EG344" s="158"/>
    </row>
    <row r="345" spans="137:137" ht="14.25" customHeight="1" x14ac:dyDescent="0.3">
      <c r="EG345" s="158"/>
    </row>
    <row r="346" spans="137:137" ht="14.25" customHeight="1" x14ac:dyDescent="0.3">
      <c r="EG346" s="158"/>
    </row>
    <row r="347" spans="137:137" ht="14.25" customHeight="1" x14ac:dyDescent="0.3">
      <c r="EG347" s="158"/>
    </row>
    <row r="348" spans="137:137" ht="14.25" customHeight="1" x14ac:dyDescent="0.3">
      <c r="EG348" s="158"/>
    </row>
    <row r="349" spans="137:137" ht="14.25" customHeight="1" x14ac:dyDescent="0.3">
      <c r="EG349" s="158"/>
    </row>
    <row r="350" spans="137:137" ht="14.25" customHeight="1" x14ac:dyDescent="0.3">
      <c r="EG350" s="158"/>
    </row>
    <row r="351" spans="137:137" ht="14.25" customHeight="1" x14ac:dyDescent="0.3">
      <c r="EG351" s="158"/>
    </row>
    <row r="352" spans="137:137" ht="14.25" customHeight="1" x14ac:dyDescent="0.3">
      <c r="EG352" s="158"/>
    </row>
    <row r="353" spans="137:137" ht="14.25" customHeight="1" x14ac:dyDescent="0.3">
      <c r="EG353" s="158"/>
    </row>
    <row r="354" spans="137:137" ht="14.25" customHeight="1" x14ac:dyDescent="0.3">
      <c r="EG354" s="158"/>
    </row>
    <row r="355" spans="137:137" ht="14.25" customHeight="1" x14ac:dyDescent="0.3">
      <c r="EG355" s="158"/>
    </row>
    <row r="356" spans="137:137" ht="14.25" customHeight="1" x14ac:dyDescent="0.3">
      <c r="EG356" s="158"/>
    </row>
    <row r="357" spans="137:137" ht="14.25" customHeight="1" x14ac:dyDescent="0.3">
      <c r="EG357" s="158"/>
    </row>
    <row r="358" spans="137:137" ht="14.25" customHeight="1" x14ac:dyDescent="0.3">
      <c r="EG358" s="158"/>
    </row>
    <row r="359" spans="137:137" ht="14.25" customHeight="1" x14ac:dyDescent="0.3">
      <c r="EG359" s="158"/>
    </row>
    <row r="360" spans="137:137" ht="14.25" customHeight="1" x14ac:dyDescent="0.3">
      <c r="EG360" s="158"/>
    </row>
    <row r="361" spans="137:137" ht="14.25" customHeight="1" x14ac:dyDescent="0.3">
      <c r="EG361" s="158"/>
    </row>
    <row r="362" spans="137:137" ht="14.25" customHeight="1" x14ac:dyDescent="0.3">
      <c r="EG362" s="158"/>
    </row>
    <row r="363" spans="137:137" ht="14.25" customHeight="1" x14ac:dyDescent="0.3">
      <c r="EG363" s="158"/>
    </row>
    <row r="364" spans="137:137" ht="14.25" customHeight="1" x14ac:dyDescent="0.3">
      <c r="EG364" s="158"/>
    </row>
    <row r="365" spans="137:137" ht="14.25" customHeight="1" x14ac:dyDescent="0.3">
      <c r="EG365" s="158"/>
    </row>
    <row r="366" spans="137:137" ht="14.25" customHeight="1" x14ac:dyDescent="0.3">
      <c r="EG366" s="158"/>
    </row>
    <row r="367" spans="137:137" ht="14.25" customHeight="1" x14ac:dyDescent="0.3">
      <c r="EG367" s="158"/>
    </row>
    <row r="368" spans="137:137" ht="14.25" customHeight="1" x14ac:dyDescent="0.3">
      <c r="EG368" s="158"/>
    </row>
    <row r="369" spans="137:137" ht="14.25" customHeight="1" x14ac:dyDescent="0.3">
      <c r="EG369" s="158"/>
    </row>
    <row r="370" spans="137:137" ht="14.25" customHeight="1" x14ac:dyDescent="0.3">
      <c r="EG370" s="158"/>
    </row>
    <row r="371" spans="137:137" ht="14.25" customHeight="1" x14ac:dyDescent="0.3">
      <c r="EG371" s="158"/>
    </row>
    <row r="372" spans="137:137" ht="14.25" customHeight="1" x14ac:dyDescent="0.3">
      <c r="EG372" s="158"/>
    </row>
    <row r="373" spans="137:137" ht="14.25" customHeight="1" x14ac:dyDescent="0.3">
      <c r="EG373" s="158"/>
    </row>
    <row r="374" spans="137:137" ht="14.25" customHeight="1" x14ac:dyDescent="0.3">
      <c r="EG374" s="158"/>
    </row>
    <row r="375" spans="137:137" ht="14.25" customHeight="1" x14ac:dyDescent="0.3">
      <c r="EG375" s="158"/>
    </row>
    <row r="376" spans="137:137" ht="14.25" customHeight="1" x14ac:dyDescent="0.3">
      <c r="EG376" s="158"/>
    </row>
    <row r="377" spans="137:137" ht="14.25" customHeight="1" x14ac:dyDescent="0.3">
      <c r="EG377" s="158"/>
    </row>
    <row r="378" spans="137:137" ht="14.25" customHeight="1" x14ac:dyDescent="0.3">
      <c r="EG378" s="158"/>
    </row>
    <row r="379" spans="137:137" ht="14.25" customHeight="1" x14ac:dyDescent="0.3">
      <c r="EG379" s="158"/>
    </row>
    <row r="380" spans="137:137" ht="14.25" customHeight="1" x14ac:dyDescent="0.3">
      <c r="EG380" s="158"/>
    </row>
    <row r="381" spans="137:137" ht="14.25" customHeight="1" x14ac:dyDescent="0.3">
      <c r="EG381" s="158"/>
    </row>
    <row r="382" spans="137:137" ht="14.25" customHeight="1" x14ac:dyDescent="0.3">
      <c r="EG382" s="158"/>
    </row>
    <row r="383" spans="137:137" ht="14.25" customHeight="1" x14ac:dyDescent="0.3">
      <c r="EG383" s="158"/>
    </row>
    <row r="384" spans="137:137" ht="14.25" customHeight="1" x14ac:dyDescent="0.3">
      <c r="EG384" s="158"/>
    </row>
    <row r="385" spans="137:137" ht="14.25" customHeight="1" x14ac:dyDescent="0.3">
      <c r="EG385" s="158"/>
    </row>
    <row r="386" spans="137:137" ht="14.25" customHeight="1" x14ac:dyDescent="0.3">
      <c r="EG386" s="158"/>
    </row>
    <row r="387" spans="137:137" ht="14.25" customHeight="1" x14ac:dyDescent="0.3">
      <c r="EG387" s="158"/>
    </row>
    <row r="388" spans="137:137" ht="14.25" customHeight="1" x14ac:dyDescent="0.3">
      <c r="EG388" s="158"/>
    </row>
    <row r="389" spans="137:137" ht="14.25" customHeight="1" x14ac:dyDescent="0.3">
      <c r="EG389" s="158"/>
    </row>
    <row r="390" spans="137:137" ht="14.25" customHeight="1" x14ac:dyDescent="0.3">
      <c r="EG390" s="158"/>
    </row>
    <row r="391" spans="137:137" ht="14.25" customHeight="1" x14ac:dyDescent="0.3">
      <c r="EG391" s="158"/>
    </row>
    <row r="392" spans="137:137" ht="14.25" customHeight="1" x14ac:dyDescent="0.3">
      <c r="EG392" s="158"/>
    </row>
    <row r="393" spans="137:137" ht="14.25" customHeight="1" x14ac:dyDescent="0.3">
      <c r="EG393" s="158"/>
    </row>
    <row r="394" spans="137:137" ht="14.25" customHeight="1" x14ac:dyDescent="0.3">
      <c r="EG394" s="158"/>
    </row>
    <row r="395" spans="137:137" ht="14.25" customHeight="1" x14ac:dyDescent="0.3">
      <c r="EG395" s="158"/>
    </row>
    <row r="396" spans="137:137" ht="14.25" customHeight="1" x14ac:dyDescent="0.3">
      <c r="EG396" s="158"/>
    </row>
    <row r="397" spans="137:137" ht="14.25" customHeight="1" x14ac:dyDescent="0.3">
      <c r="EG397" s="158"/>
    </row>
    <row r="398" spans="137:137" ht="14.25" customHeight="1" x14ac:dyDescent="0.3">
      <c r="EG398" s="158"/>
    </row>
    <row r="399" spans="137:137" ht="14.25" customHeight="1" x14ac:dyDescent="0.3">
      <c r="EG399" s="158"/>
    </row>
    <row r="400" spans="137:137" ht="14.25" customHeight="1" x14ac:dyDescent="0.3">
      <c r="EG400" s="158"/>
    </row>
    <row r="401" spans="137:137" ht="14.25" customHeight="1" x14ac:dyDescent="0.3">
      <c r="EG401" s="158"/>
    </row>
    <row r="402" spans="137:137" ht="14.25" customHeight="1" x14ac:dyDescent="0.3">
      <c r="EG402" s="158"/>
    </row>
    <row r="403" spans="137:137" ht="14.25" customHeight="1" x14ac:dyDescent="0.3">
      <c r="EG403" s="158"/>
    </row>
    <row r="404" spans="137:137" ht="14.25" customHeight="1" x14ac:dyDescent="0.3">
      <c r="EG404" s="158"/>
    </row>
    <row r="405" spans="137:137" ht="14.25" customHeight="1" x14ac:dyDescent="0.3">
      <c r="EG405" s="158"/>
    </row>
    <row r="406" spans="137:137" ht="14.25" customHeight="1" x14ac:dyDescent="0.3">
      <c r="EG406" s="158"/>
    </row>
    <row r="407" spans="137:137" ht="14.25" customHeight="1" x14ac:dyDescent="0.3">
      <c r="EG407" s="158"/>
    </row>
    <row r="408" spans="137:137" ht="14.25" customHeight="1" x14ac:dyDescent="0.3">
      <c r="EG408" s="158"/>
    </row>
    <row r="409" spans="137:137" ht="14.25" customHeight="1" x14ac:dyDescent="0.3">
      <c r="EG409" s="158"/>
    </row>
    <row r="410" spans="137:137" ht="14.25" customHeight="1" x14ac:dyDescent="0.3">
      <c r="EG410" s="158"/>
    </row>
    <row r="411" spans="137:137" ht="14.25" customHeight="1" x14ac:dyDescent="0.3"/>
    <row r="412" spans="137:137" ht="14.25" customHeight="1" x14ac:dyDescent="0.3"/>
    <row r="413" spans="137:137" ht="14.25" customHeight="1" x14ac:dyDescent="0.3"/>
    <row r="414" spans="137:137" ht="14.25" customHeight="1" x14ac:dyDescent="0.3"/>
    <row r="415" spans="137:137" ht="14.25" customHeight="1" x14ac:dyDescent="0.3"/>
    <row r="416" spans="137:137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  <row r="1001" ht="14.25" customHeight="1" x14ac:dyDescent="0.3"/>
    <row r="1002" ht="14.25" customHeight="1" x14ac:dyDescent="0.3"/>
    <row r="1003" ht="14.25" customHeight="1" x14ac:dyDescent="0.3"/>
  </sheetData>
  <mergeCells count="4">
    <mergeCell ref="D5:J5"/>
    <mergeCell ref="EF5:EH5"/>
    <mergeCell ref="EJ5:EL5"/>
    <mergeCell ref="EM5:EO5"/>
  </mergeCells>
  <pageMargins left="0.7" right="0.7" top="0.75" bottom="0.75" header="0" footer="0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AC544-F1AB-402C-B20F-D7B81E4EA9E3}">
  <sheetPr codeName="Sheet21"/>
  <dimension ref="B2:CC1003"/>
  <sheetViews>
    <sheetView zoomScale="80" zoomScaleNormal="80" workbookViewId="0"/>
  </sheetViews>
  <sheetFormatPr defaultColWidth="14.44140625" defaultRowHeight="15" customHeight="1" x14ac:dyDescent="0.3"/>
  <cols>
    <col min="1" max="1" width="8.6640625" customWidth="1"/>
    <col min="2" max="2" width="12.77734375" customWidth="1"/>
    <col min="3" max="3" width="4.77734375" customWidth="1"/>
    <col min="4" max="4" width="12.77734375" customWidth="1"/>
    <col min="5" max="6" width="13.109375" customWidth="1"/>
    <col min="7" max="10" width="12.77734375" customWidth="1"/>
    <col min="11" max="11" width="4.77734375" customWidth="1"/>
    <col min="12" max="12" width="11.44140625" customWidth="1"/>
    <col min="13" max="13" width="8.33203125" customWidth="1"/>
    <col min="14" max="14" width="11.109375" customWidth="1"/>
    <col min="15" max="15" width="4.77734375" customWidth="1"/>
    <col min="16" max="17" width="8.77734375" customWidth="1"/>
    <col min="18" max="18" width="4.77734375" customWidth="1"/>
    <col min="19" max="75" width="10.77734375" customWidth="1"/>
    <col min="76" max="76" width="12.77734375" customWidth="1"/>
  </cols>
  <sheetData>
    <row r="2" spans="2:81" ht="15" customHeight="1" x14ac:dyDescent="0.3">
      <c r="U2" s="104"/>
    </row>
    <row r="3" spans="2:81" ht="15" customHeight="1" x14ac:dyDescent="0.3">
      <c r="U3" s="104"/>
    </row>
    <row r="4" spans="2:81" ht="14.25" customHeight="1" x14ac:dyDescent="0.3">
      <c r="U4" s="104"/>
    </row>
    <row r="5" spans="2:81" ht="14.4" x14ac:dyDescent="0.3">
      <c r="D5" s="307" t="s">
        <v>200</v>
      </c>
      <c r="E5" s="308"/>
      <c r="F5" s="308"/>
      <c r="G5" s="308"/>
      <c r="H5" s="308"/>
      <c r="I5" s="308"/>
      <c r="J5" s="315"/>
      <c r="L5" s="318" t="s">
        <v>218</v>
      </c>
      <c r="M5" s="319"/>
      <c r="N5" s="319"/>
      <c r="P5" s="1"/>
      <c r="S5" s="316" t="s">
        <v>204</v>
      </c>
      <c r="T5" s="317"/>
      <c r="U5" s="317"/>
      <c r="V5" s="317"/>
      <c r="W5" s="317"/>
      <c r="X5" s="317"/>
      <c r="Y5" s="317"/>
      <c r="Z5" s="317"/>
      <c r="AA5" s="317"/>
      <c r="AB5" s="317"/>
      <c r="AC5" s="317"/>
      <c r="AD5" s="317"/>
      <c r="AE5" s="317"/>
      <c r="AF5" s="317"/>
      <c r="AG5" s="317"/>
      <c r="AH5" s="317"/>
      <c r="AI5" s="317"/>
      <c r="AJ5" s="317"/>
      <c r="AK5" s="317"/>
      <c r="AL5" s="317"/>
      <c r="AM5" s="317"/>
      <c r="AN5" s="317"/>
      <c r="AO5" s="317"/>
      <c r="AP5" s="317"/>
      <c r="AQ5" s="317"/>
      <c r="AR5" s="317"/>
      <c r="AS5" s="317"/>
      <c r="AT5" s="317"/>
      <c r="AU5" s="317"/>
      <c r="AV5" s="317"/>
      <c r="AW5" s="317"/>
      <c r="AX5" s="317"/>
      <c r="AY5" s="317"/>
      <c r="AZ5" s="317"/>
      <c r="BA5" s="317"/>
      <c r="BB5" s="317"/>
      <c r="BC5" s="317"/>
      <c r="BD5" s="317"/>
      <c r="BE5" s="317"/>
      <c r="BF5" s="317"/>
      <c r="BG5" s="317"/>
      <c r="BH5" s="317"/>
      <c r="BI5" s="317"/>
      <c r="BJ5" s="317"/>
      <c r="BK5" s="317"/>
      <c r="BL5" s="317"/>
      <c r="BM5" s="317"/>
      <c r="BN5" s="317"/>
      <c r="BO5" s="317"/>
      <c r="BP5" s="317"/>
      <c r="BQ5" s="317"/>
      <c r="BR5" s="317"/>
      <c r="BS5" s="317"/>
      <c r="BT5" s="317"/>
      <c r="BU5" s="317"/>
      <c r="BV5" s="317"/>
      <c r="BW5" s="317"/>
      <c r="BX5" s="2"/>
    </row>
    <row r="6" spans="2:81" s="5" customFormat="1" ht="72" x14ac:dyDescent="0.3">
      <c r="B6" s="8" t="s">
        <v>48</v>
      </c>
      <c r="C6"/>
      <c r="D6" s="9" t="s">
        <v>3</v>
      </c>
      <c r="E6" s="9" t="s">
        <v>257</v>
      </c>
      <c r="F6" s="9" t="s">
        <v>258</v>
      </c>
      <c r="G6" s="10" t="s">
        <v>217</v>
      </c>
      <c r="H6" s="9" t="s">
        <v>5</v>
      </c>
      <c r="I6" s="9" t="s">
        <v>165</v>
      </c>
      <c r="J6" s="9" t="s">
        <v>220</v>
      </c>
      <c r="L6" s="9" t="s">
        <v>3</v>
      </c>
      <c r="M6" s="9" t="s">
        <v>4</v>
      </c>
      <c r="N6" s="10" t="s">
        <v>217</v>
      </c>
      <c r="O6" s="1"/>
      <c r="P6" s="1"/>
      <c r="Q6" s="1"/>
      <c r="S6" s="9" t="s">
        <v>279</v>
      </c>
      <c r="T6" s="9" t="s">
        <v>12</v>
      </c>
      <c r="U6" s="9" t="s">
        <v>19</v>
      </c>
      <c r="V6" s="9" t="s">
        <v>100</v>
      </c>
      <c r="W6" s="9" t="s">
        <v>39</v>
      </c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12"/>
      <c r="BZ6"/>
      <c r="CC6"/>
    </row>
    <row r="7" spans="2:81" ht="14.25" customHeight="1" x14ac:dyDescent="0.3">
      <c r="B7" s="3">
        <v>1.0416666666666666E-2</v>
      </c>
    </row>
    <row r="8" spans="2:81" ht="14.25" customHeight="1" x14ac:dyDescent="0.3">
      <c r="B8" s="3">
        <v>2.0833333333333332E-2</v>
      </c>
    </row>
    <row r="9" spans="2:81" ht="14.25" customHeight="1" x14ac:dyDescent="0.3">
      <c r="B9" s="3">
        <v>3.125E-2</v>
      </c>
    </row>
    <row r="10" spans="2:81" ht="14.25" customHeight="1" x14ac:dyDescent="0.3">
      <c r="B10" s="3">
        <v>4.1666666666666664E-2</v>
      </c>
    </row>
    <row r="11" spans="2:81" ht="14.25" customHeight="1" x14ac:dyDescent="0.3">
      <c r="B11" s="3">
        <v>5.2083333333333336E-2</v>
      </c>
    </row>
    <row r="12" spans="2:81" ht="14.25" customHeight="1" x14ac:dyDescent="0.3">
      <c r="B12" s="3">
        <v>6.25E-2</v>
      </c>
    </row>
    <row r="13" spans="2:81" ht="14.25" customHeight="1" x14ac:dyDescent="0.3">
      <c r="B13" s="3">
        <v>7.2916666666666699E-2</v>
      </c>
    </row>
    <row r="14" spans="2:81" ht="14.25" customHeight="1" x14ac:dyDescent="0.3">
      <c r="B14" s="3">
        <v>8.3333333333333398E-2</v>
      </c>
    </row>
    <row r="15" spans="2:81" ht="14.25" customHeight="1" x14ac:dyDescent="0.3">
      <c r="B15" s="3">
        <v>9.375E-2</v>
      </c>
    </row>
    <row r="16" spans="2:81" ht="14.25" customHeight="1" x14ac:dyDescent="0.3">
      <c r="B16" s="3">
        <v>0.104166666666667</v>
      </c>
    </row>
    <row r="17" spans="2:2" ht="14.25" customHeight="1" x14ac:dyDescent="0.3">
      <c r="B17" s="3">
        <v>0.11458333333333399</v>
      </c>
    </row>
    <row r="18" spans="2:2" ht="14.25" customHeight="1" x14ac:dyDescent="0.3">
      <c r="B18" s="3">
        <v>0.125</v>
      </c>
    </row>
    <row r="19" spans="2:2" ht="14.25" customHeight="1" x14ac:dyDescent="0.3">
      <c r="B19" s="3">
        <v>0.13541666666666699</v>
      </c>
    </row>
    <row r="20" spans="2:2" ht="14.25" customHeight="1" x14ac:dyDescent="0.3">
      <c r="B20" s="3">
        <v>0.14583333333333401</v>
      </c>
    </row>
    <row r="21" spans="2:2" ht="14.25" customHeight="1" x14ac:dyDescent="0.3">
      <c r="B21" s="3">
        <v>0.15625</v>
      </c>
    </row>
    <row r="22" spans="2:2" ht="14.25" customHeight="1" x14ac:dyDescent="0.3">
      <c r="B22" s="3">
        <v>0.16666666666666699</v>
      </c>
    </row>
    <row r="23" spans="2:2" ht="14.25" customHeight="1" x14ac:dyDescent="0.3">
      <c r="B23" s="3">
        <v>0.17708333333333401</v>
      </c>
    </row>
    <row r="24" spans="2:2" ht="14.25" customHeight="1" x14ac:dyDescent="0.3">
      <c r="B24" s="3">
        <v>0.1875</v>
      </c>
    </row>
    <row r="25" spans="2:2" ht="14.25" customHeight="1" x14ac:dyDescent="0.3">
      <c r="B25" s="3">
        <v>0.19791666666666699</v>
      </c>
    </row>
    <row r="26" spans="2:2" ht="14.25" customHeight="1" x14ac:dyDescent="0.3">
      <c r="B26" s="3">
        <v>0.20833333333333401</v>
      </c>
    </row>
    <row r="27" spans="2:2" ht="14.25" customHeight="1" x14ac:dyDescent="0.3">
      <c r="B27" s="3">
        <v>0.21875</v>
      </c>
    </row>
    <row r="28" spans="2:2" ht="14.25" customHeight="1" x14ac:dyDescent="0.3">
      <c r="B28" s="3">
        <v>0.22916666666666699</v>
      </c>
    </row>
    <row r="29" spans="2:2" ht="14.25" customHeight="1" x14ac:dyDescent="0.3">
      <c r="B29" s="3">
        <v>0.23958333333333401</v>
      </c>
    </row>
    <row r="30" spans="2:2" ht="14.25" customHeight="1" x14ac:dyDescent="0.3">
      <c r="B30" s="3">
        <v>0.25</v>
      </c>
    </row>
    <row r="31" spans="2:2" ht="14.25" customHeight="1" x14ac:dyDescent="0.3">
      <c r="B31" s="3">
        <v>0.26041666666666702</v>
      </c>
    </row>
    <row r="32" spans="2:2" ht="14.25" customHeight="1" x14ac:dyDescent="0.3">
      <c r="B32" s="3">
        <v>0.27083333333333398</v>
      </c>
    </row>
    <row r="33" spans="2:2" ht="14.25" customHeight="1" x14ac:dyDescent="0.3">
      <c r="B33" s="3">
        <v>0.28125</v>
      </c>
    </row>
    <row r="34" spans="2:2" ht="14.25" customHeight="1" x14ac:dyDescent="0.3">
      <c r="B34" s="3">
        <v>0.29166666666666702</v>
      </c>
    </row>
    <row r="35" spans="2:2" ht="14.25" customHeight="1" x14ac:dyDescent="0.3">
      <c r="B35" s="3">
        <v>0.30208333333333398</v>
      </c>
    </row>
    <row r="36" spans="2:2" ht="14.25" customHeight="1" x14ac:dyDescent="0.3">
      <c r="B36" s="3">
        <v>0.3125</v>
      </c>
    </row>
    <row r="37" spans="2:2" ht="14.25" customHeight="1" x14ac:dyDescent="0.3">
      <c r="B37" s="3">
        <v>0.32291666666666702</v>
      </c>
    </row>
    <row r="38" spans="2:2" ht="14.25" customHeight="1" x14ac:dyDescent="0.3">
      <c r="B38" s="3">
        <v>0.33333333333333398</v>
      </c>
    </row>
    <row r="39" spans="2:2" ht="14.25" customHeight="1" x14ac:dyDescent="0.3">
      <c r="B39" s="3">
        <v>0.34375</v>
      </c>
    </row>
    <row r="40" spans="2:2" ht="14.25" customHeight="1" x14ac:dyDescent="0.3">
      <c r="B40" s="3">
        <v>0.35416666666666702</v>
      </c>
    </row>
    <row r="41" spans="2:2" ht="14.25" customHeight="1" x14ac:dyDescent="0.3">
      <c r="B41" s="3">
        <v>0.36458333333333398</v>
      </c>
    </row>
    <row r="42" spans="2:2" ht="14.25" customHeight="1" x14ac:dyDescent="0.3">
      <c r="B42" s="3">
        <v>0.375</v>
      </c>
    </row>
    <row r="43" spans="2:2" ht="14.25" customHeight="1" x14ac:dyDescent="0.3">
      <c r="B43" s="3">
        <v>0.38541666666666702</v>
      </c>
    </row>
    <row r="44" spans="2:2" ht="14.25" customHeight="1" x14ac:dyDescent="0.3">
      <c r="B44" s="3">
        <v>0.39583333333333398</v>
      </c>
    </row>
    <row r="45" spans="2:2" ht="14.25" customHeight="1" x14ac:dyDescent="0.3">
      <c r="B45" s="3">
        <v>0.40625</v>
      </c>
    </row>
    <row r="46" spans="2:2" ht="14.25" customHeight="1" x14ac:dyDescent="0.3">
      <c r="B46" s="3">
        <v>0.41666666666666702</v>
      </c>
    </row>
    <row r="47" spans="2:2" ht="14.25" customHeight="1" x14ac:dyDescent="0.3">
      <c r="B47" s="3">
        <v>0.42708333333333398</v>
      </c>
    </row>
    <row r="48" spans="2:2" ht="14.25" customHeight="1" x14ac:dyDescent="0.3">
      <c r="B48" s="3">
        <v>0.4375</v>
      </c>
    </row>
    <row r="49" spans="2:2" ht="14.25" customHeight="1" x14ac:dyDescent="0.3">
      <c r="B49" s="3">
        <v>0.44791666666666702</v>
      </c>
    </row>
    <row r="50" spans="2:2" ht="14.25" customHeight="1" x14ac:dyDescent="0.3">
      <c r="B50" s="3">
        <v>0.45833333333333398</v>
      </c>
    </row>
    <row r="51" spans="2:2" ht="14.25" customHeight="1" x14ac:dyDescent="0.3">
      <c r="B51" s="3">
        <v>0.46875</v>
      </c>
    </row>
    <row r="52" spans="2:2" ht="14.25" customHeight="1" x14ac:dyDescent="0.3">
      <c r="B52" s="3">
        <v>0.47916666666666702</v>
      </c>
    </row>
    <row r="53" spans="2:2" ht="14.25" customHeight="1" x14ac:dyDescent="0.3">
      <c r="B53" s="3">
        <v>0.48958333333333398</v>
      </c>
    </row>
    <row r="54" spans="2:2" ht="14.25" customHeight="1" x14ac:dyDescent="0.3">
      <c r="B54" s="3">
        <v>0.5</v>
      </c>
    </row>
    <row r="55" spans="2:2" ht="14.25" customHeight="1" x14ac:dyDescent="0.3">
      <c r="B55" s="3">
        <v>0.51041666666666696</v>
      </c>
    </row>
    <row r="56" spans="2:2" ht="14.25" customHeight="1" x14ac:dyDescent="0.3">
      <c r="B56" s="3">
        <v>0.52083333333333404</v>
      </c>
    </row>
    <row r="57" spans="2:2" ht="14.25" customHeight="1" x14ac:dyDescent="0.3">
      <c r="B57" s="3">
        <v>0.53125</v>
      </c>
    </row>
    <row r="58" spans="2:2" ht="14.25" customHeight="1" x14ac:dyDescent="0.3">
      <c r="B58" s="3">
        <v>0.54166666666666696</v>
      </c>
    </row>
    <row r="59" spans="2:2" ht="14.25" customHeight="1" x14ac:dyDescent="0.3">
      <c r="B59" s="3">
        <v>0.55208333333333404</v>
      </c>
    </row>
    <row r="60" spans="2:2" ht="14.25" customHeight="1" x14ac:dyDescent="0.3">
      <c r="B60" s="3">
        <v>0.5625</v>
      </c>
    </row>
    <row r="61" spans="2:2" ht="14.25" customHeight="1" x14ac:dyDescent="0.3">
      <c r="B61" s="3">
        <v>0.57291666666666696</v>
      </c>
    </row>
    <row r="62" spans="2:2" ht="14.25" customHeight="1" x14ac:dyDescent="0.3">
      <c r="B62" s="3">
        <v>0.58333333333333404</v>
      </c>
    </row>
    <row r="63" spans="2:2" ht="14.25" customHeight="1" x14ac:dyDescent="0.3">
      <c r="B63" s="3">
        <v>0.59375</v>
      </c>
    </row>
    <row r="64" spans="2:2" ht="14.25" customHeight="1" x14ac:dyDescent="0.3">
      <c r="B64" s="3">
        <v>0.60416666666666696</v>
      </c>
    </row>
    <row r="65" spans="2:2" ht="14.25" customHeight="1" x14ac:dyDescent="0.3">
      <c r="B65" s="3">
        <v>0.61458333333333404</v>
      </c>
    </row>
    <row r="66" spans="2:2" ht="14.25" customHeight="1" x14ac:dyDescent="0.3">
      <c r="B66" s="3">
        <v>0.625</v>
      </c>
    </row>
    <row r="67" spans="2:2" ht="14.25" customHeight="1" x14ac:dyDescent="0.3">
      <c r="B67" s="3">
        <v>0.63541666666666696</v>
      </c>
    </row>
    <row r="68" spans="2:2" ht="14.25" customHeight="1" x14ac:dyDescent="0.3">
      <c r="B68" s="3">
        <v>0.64583333333333404</v>
      </c>
    </row>
    <row r="69" spans="2:2" ht="14.25" customHeight="1" x14ac:dyDescent="0.3">
      <c r="B69" s="3">
        <v>0.65625</v>
      </c>
    </row>
    <row r="70" spans="2:2" ht="14.25" customHeight="1" x14ac:dyDescent="0.3">
      <c r="B70" s="3">
        <v>0.66666666666666696</v>
      </c>
    </row>
    <row r="71" spans="2:2" ht="14.25" customHeight="1" x14ac:dyDescent="0.3">
      <c r="B71" s="3">
        <v>0.67708333333333404</v>
      </c>
    </row>
    <row r="72" spans="2:2" ht="14.25" customHeight="1" x14ac:dyDescent="0.3">
      <c r="B72" s="3">
        <v>0.6875</v>
      </c>
    </row>
    <row r="73" spans="2:2" ht="14.25" customHeight="1" x14ac:dyDescent="0.3">
      <c r="B73" s="3">
        <v>0.69791666666666696</v>
      </c>
    </row>
    <row r="74" spans="2:2" ht="14.25" customHeight="1" x14ac:dyDescent="0.3">
      <c r="B74" s="3">
        <v>0.70833333333333404</v>
      </c>
    </row>
    <row r="75" spans="2:2" ht="14.25" customHeight="1" x14ac:dyDescent="0.3">
      <c r="B75" s="3">
        <v>0.71875</v>
      </c>
    </row>
    <row r="76" spans="2:2" ht="14.25" customHeight="1" x14ac:dyDescent="0.3">
      <c r="B76" s="3">
        <v>0.72916666666666696</v>
      </c>
    </row>
    <row r="77" spans="2:2" ht="14.25" customHeight="1" x14ac:dyDescent="0.3">
      <c r="B77" s="3">
        <v>0.73958333333333404</v>
      </c>
    </row>
    <row r="78" spans="2:2" ht="14.25" customHeight="1" x14ac:dyDescent="0.3">
      <c r="B78" s="3">
        <v>0.75</v>
      </c>
    </row>
    <row r="79" spans="2:2" ht="14.25" customHeight="1" x14ac:dyDescent="0.3">
      <c r="B79" s="3">
        <v>0.76041666666666696</v>
      </c>
    </row>
    <row r="80" spans="2:2" ht="14.25" customHeight="1" x14ac:dyDescent="0.3">
      <c r="B80" s="3">
        <v>0.77083333333333404</v>
      </c>
    </row>
    <row r="81" spans="2:2" ht="14.25" customHeight="1" x14ac:dyDescent="0.3">
      <c r="B81" s="3">
        <v>0.78125</v>
      </c>
    </row>
    <row r="82" spans="2:2" ht="14.25" customHeight="1" x14ac:dyDescent="0.3">
      <c r="B82" s="3">
        <v>0.79166666666666696</v>
      </c>
    </row>
    <row r="83" spans="2:2" ht="14.25" customHeight="1" x14ac:dyDescent="0.3">
      <c r="B83" s="3">
        <v>0.80208333333333404</v>
      </c>
    </row>
    <row r="84" spans="2:2" ht="14.25" customHeight="1" x14ac:dyDescent="0.3">
      <c r="B84" s="3">
        <v>0.8125</v>
      </c>
    </row>
    <row r="85" spans="2:2" ht="14.25" customHeight="1" x14ac:dyDescent="0.3">
      <c r="B85" s="3">
        <v>0.82291666666666696</v>
      </c>
    </row>
    <row r="86" spans="2:2" ht="14.25" customHeight="1" x14ac:dyDescent="0.3">
      <c r="B86" s="3">
        <v>0.83333333333333404</v>
      </c>
    </row>
    <row r="87" spans="2:2" ht="14.25" customHeight="1" x14ac:dyDescent="0.3">
      <c r="B87" s="3">
        <v>0.84375</v>
      </c>
    </row>
    <row r="88" spans="2:2" ht="14.25" customHeight="1" x14ac:dyDescent="0.3">
      <c r="B88" s="3">
        <v>0.85416666666666696</v>
      </c>
    </row>
    <row r="89" spans="2:2" ht="14.25" customHeight="1" x14ac:dyDescent="0.3">
      <c r="B89" s="3">
        <v>0.86458333333333404</v>
      </c>
    </row>
    <row r="90" spans="2:2" ht="14.25" customHeight="1" x14ac:dyDescent="0.3">
      <c r="B90" s="3">
        <v>0.875</v>
      </c>
    </row>
    <row r="91" spans="2:2" ht="14.25" customHeight="1" x14ac:dyDescent="0.3">
      <c r="B91" s="3">
        <v>0.88541666666666696</v>
      </c>
    </row>
    <row r="92" spans="2:2" ht="14.25" customHeight="1" x14ac:dyDescent="0.3">
      <c r="B92" s="3">
        <v>0.89583333333333404</v>
      </c>
    </row>
    <row r="93" spans="2:2" ht="14.25" customHeight="1" x14ac:dyDescent="0.3">
      <c r="B93" s="3">
        <v>0.90625</v>
      </c>
    </row>
    <row r="94" spans="2:2" ht="14.25" customHeight="1" x14ac:dyDescent="0.3">
      <c r="B94" s="3">
        <v>0.91666666666666696</v>
      </c>
    </row>
    <row r="95" spans="2:2" ht="14.25" customHeight="1" x14ac:dyDescent="0.3">
      <c r="B95" s="3">
        <v>0.92708333333333404</v>
      </c>
    </row>
    <row r="96" spans="2:2" ht="14.25" customHeight="1" x14ac:dyDescent="0.3">
      <c r="B96" s="3">
        <v>0.9375</v>
      </c>
    </row>
    <row r="97" spans="2:2" ht="14.25" customHeight="1" x14ac:dyDescent="0.3">
      <c r="B97" s="3">
        <v>0.94791666666666696</v>
      </c>
    </row>
    <row r="98" spans="2:2" ht="14.25" customHeight="1" x14ac:dyDescent="0.3">
      <c r="B98" s="3">
        <v>0.95833333333333404</v>
      </c>
    </row>
    <row r="99" spans="2:2" ht="14.25" customHeight="1" x14ac:dyDescent="0.3">
      <c r="B99" s="3">
        <v>0.96875</v>
      </c>
    </row>
    <row r="100" spans="2:2" ht="14.25" customHeight="1" x14ac:dyDescent="0.3">
      <c r="B100" s="3">
        <v>0.97916666666666696</v>
      </c>
    </row>
    <row r="101" spans="2:2" ht="14.25" customHeight="1" x14ac:dyDescent="0.3">
      <c r="B101" s="3">
        <v>0.98958333333333404</v>
      </c>
    </row>
    <row r="102" spans="2:2" ht="14.25" customHeight="1" x14ac:dyDescent="0.3">
      <c r="B102" s="3">
        <v>1</v>
      </c>
    </row>
    <row r="103" spans="2:2" ht="14.25" customHeight="1" x14ac:dyDescent="0.3"/>
    <row r="104" spans="2:2" ht="14.25" customHeight="1" x14ac:dyDescent="0.3"/>
    <row r="105" spans="2:2" ht="14.25" customHeight="1" x14ac:dyDescent="0.3"/>
    <row r="106" spans="2:2" ht="14.25" customHeight="1" x14ac:dyDescent="0.3"/>
    <row r="107" spans="2:2" ht="14.25" customHeight="1" x14ac:dyDescent="0.3"/>
    <row r="108" spans="2:2" ht="14.25" customHeight="1" x14ac:dyDescent="0.3"/>
    <row r="109" spans="2:2" ht="14.25" customHeight="1" x14ac:dyDescent="0.3"/>
    <row r="110" spans="2:2" ht="14.25" customHeight="1" x14ac:dyDescent="0.3"/>
    <row r="111" spans="2:2" ht="14.25" customHeight="1" x14ac:dyDescent="0.3"/>
    <row r="112" spans="2: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  <row r="1001" ht="14.25" customHeight="1" x14ac:dyDescent="0.3"/>
    <row r="1002" ht="14.25" customHeight="1" x14ac:dyDescent="0.3"/>
    <row r="1003" ht="14.25" customHeight="1" x14ac:dyDescent="0.3"/>
  </sheetData>
  <mergeCells count="3">
    <mergeCell ref="D5:J5"/>
    <mergeCell ref="S5:BW5"/>
    <mergeCell ref="L5:N5"/>
  </mergeCells>
  <pageMargins left="0.7" right="0.7" top="0.75" bottom="0.75" header="0" footer="0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E7CB4-42C3-42B0-82B8-78461A184837}">
  <sheetPr codeName="Sheet22"/>
  <dimension ref="A1"/>
  <sheetViews>
    <sheetView zoomScale="85" zoomScaleNormal="85" workbookViewId="0"/>
  </sheetViews>
  <sheetFormatPr defaultColWidth="7.77734375" defaultRowHeight="14.4" x14ac:dyDescent="0.3"/>
  <sheetData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36BF4-514E-487C-8F9C-5F96D8B7BBBC}">
  <sheetPr codeName="Sheet2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359C-A082-4092-9625-F52231EBE7A8}">
  <sheetPr codeName="Sheet2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1:S990"/>
  <sheetViews>
    <sheetView zoomScale="90" zoomScaleNormal="90" workbookViewId="0"/>
  </sheetViews>
  <sheetFormatPr defaultColWidth="14.44140625" defaultRowHeight="15" customHeight="1" x14ac:dyDescent="0.3"/>
  <cols>
    <col min="1" max="1" width="8.6640625" customWidth="1"/>
    <col min="2" max="2" width="31" bestFit="1" customWidth="1"/>
    <col min="3" max="3" width="8.6640625" customWidth="1"/>
    <col min="4" max="4" width="33.5546875" customWidth="1"/>
    <col min="5" max="5" width="21.109375" bestFit="1" customWidth="1"/>
    <col min="6" max="6" width="27.88671875" bestFit="1" customWidth="1"/>
    <col min="7" max="7" width="13.77734375" bestFit="1" customWidth="1"/>
    <col min="8" max="8" width="20.77734375" bestFit="1" customWidth="1"/>
    <col min="9" max="9" width="13.5546875" bestFit="1" customWidth="1"/>
    <col min="10" max="10" width="20.44140625" bestFit="1" customWidth="1"/>
    <col min="11" max="11" width="6.44140625" customWidth="1"/>
    <col min="12" max="12" width="22.109375" customWidth="1"/>
    <col min="13" max="13" width="10" customWidth="1"/>
    <col min="14" max="15" width="8.6640625" customWidth="1"/>
    <col min="16" max="16" width="26" customWidth="1"/>
    <col min="17" max="24" width="8.6640625" customWidth="1"/>
  </cols>
  <sheetData>
    <row r="1" spans="2:17" ht="14.25" customHeight="1" x14ac:dyDescent="0.3"/>
    <row r="2" spans="2:17" ht="14.25" customHeight="1" x14ac:dyDescent="0.3">
      <c r="B2" s="40" t="s">
        <v>156</v>
      </c>
      <c r="D2" s="33" t="s">
        <v>136</v>
      </c>
      <c r="E2" s="41"/>
      <c r="F2" s="41"/>
      <c r="G2" s="41"/>
      <c r="H2" s="34"/>
      <c r="I2" s="34"/>
      <c r="J2" s="34"/>
      <c r="K2" s="34"/>
      <c r="L2" s="34"/>
      <c r="M2" s="35"/>
    </row>
    <row r="3" spans="2:17" ht="14.25" customHeight="1" x14ac:dyDescent="0.3">
      <c r="B3" s="13" t="s">
        <v>11</v>
      </c>
      <c r="D3" s="15" t="s">
        <v>137</v>
      </c>
      <c r="E3" s="102" t="s">
        <v>198</v>
      </c>
      <c r="F3" s="16" t="s">
        <v>199</v>
      </c>
      <c r="G3" s="102" t="s">
        <v>9</v>
      </c>
      <c r="H3" s="16" t="s">
        <v>157</v>
      </c>
      <c r="I3" s="102" t="s">
        <v>10</v>
      </c>
      <c r="J3" s="16" t="s">
        <v>158</v>
      </c>
      <c r="K3" s="16" t="s">
        <v>138</v>
      </c>
      <c r="L3" s="16" t="s">
        <v>139</v>
      </c>
      <c r="M3" s="17" t="s">
        <v>7</v>
      </c>
      <c r="P3" s="33" t="s">
        <v>140</v>
      </c>
      <c r="Q3" s="29" t="s">
        <v>141</v>
      </c>
    </row>
    <row r="4" spans="2:17" ht="14.25" customHeight="1" x14ac:dyDescent="0.3">
      <c r="B4" s="13" t="s">
        <v>15</v>
      </c>
      <c r="D4" s="18" t="s">
        <v>12</v>
      </c>
      <c r="E4" s="19">
        <v>4</v>
      </c>
      <c r="F4" s="19">
        <v>4</v>
      </c>
      <c r="G4" s="19">
        <v>25</v>
      </c>
      <c r="H4" s="19">
        <v>25</v>
      </c>
      <c r="I4" s="19">
        <v>25</v>
      </c>
      <c r="J4" s="19">
        <v>25</v>
      </c>
      <c r="K4" s="20"/>
      <c r="L4" s="19" t="s">
        <v>11</v>
      </c>
      <c r="M4" s="21"/>
      <c r="P4" s="18" t="s">
        <v>142</v>
      </c>
      <c r="Q4" s="30">
        <f>8/0.5</f>
        <v>16</v>
      </c>
    </row>
    <row r="5" spans="2:17" ht="14.25" customHeight="1" x14ac:dyDescent="0.3">
      <c r="B5" s="13" t="s">
        <v>20</v>
      </c>
      <c r="D5" s="18" t="s">
        <v>13</v>
      </c>
      <c r="E5" s="19"/>
      <c r="F5" s="19"/>
      <c r="G5" s="19">
        <v>3</v>
      </c>
      <c r="H5" s="19">
        <v>3</v>
      </c>
      <c r="I5" s="19">
        <v>8</v>
      </c>
      <c r="J5" s="19">
        <v>8</v>
      </c>
      <c r="K5" s="20"/>
      <c r="L5" s="19" t="s">
        <v>11</v>
      </c>
      <c r="M5" s="21"/>
      <c r="P5" s="18" t="s">
        <v>6</v>
      </c>
      <c r="Q5" s="30">
        <f>5/0.75</f>
        <v>6.666666666666667</v>
      </c>
    </row>
    <row r="6" spans="2:17" ht="14.25" customHeight="1" x14ac:dyDescent="0.3">
      <c r="B6" s="13" t="s">
        <v>27</v>
      </c>
      <c r="D6" s="18" t="s">
        <v>14</v>
      </c>
      <c r="E6" s="19"/>
      <c r="F6" s="19"/>
      <c r="G6" s="19">
        <v>100</v>
      </c>
      <c r="H6" s="19">
        <v>100</v>
      </c>
      <c r="I6" s="19">
        <v>100</v>
      </c>
      <c r="J6" s="19">
        <v>100</v>
      </c>
      <c r="K6" s="20"/>
      <c r="L6" s="19" t="s">
        <v>11</v>
      </c>
      <c r="M6" s="21"/>
      <c r="P6" s="25" t="s">
        <v>143</v>
      </c>
      <c r="Q6" s="31">
        <f>6/1.42</f>
        <v>4.2253521126760569</v>
      </c>
    </row>
    <row r="7" spans="2:17" ht="14.25" customHeight="1" x14ac:dyDescent="0.3">
      <c r="B7" s="13" t="s">
        <v>31</v>
      </c>
      <c r="D7" s="18" t="s">
        <v>50</v>
      </c>
      <c r="E7" s="19"/>
      <c r="F7" s="19"/>
      <c r="G7" s="19">
        <v>1500</v>
      </c>
      <c r="H7" s="19">
        <v>1500</v>
      </c>
      <c r="I7" s="19">
        <v>1500</v>
      </c>
      <c r="J7" s="19">
        <v>1500</v>
      </c>
      <c r="K7" s="20"/>
      <c r="L7" s="19" t="s">
        <v>15</v>
      </c>
      <c r="M7" s="21"/>
    </row>
    <row r="8" spans="2:17" ht="14.25" customHeight="1" x14ac:dyDescent="0.3">
      <c r="B8" s="13" t="s">
        <v>33</v>
      </c>
      <c r="D8" s="18" t="s">
        <v>54</v>
      </c>
      <c r="E8" s="19">
        <v>0.25</v>
      </c>
      <c r="F8" s="19"/>
      <c r="G8" s="19">
        <v>300</v>
      </c>
      <c r="H8" s="19">
        <v>300</v>
      </c>
      <c r="I8" s="19">
        <v>950</v>
      </c>
      <c r="J8" s="19">
        <v>950</v>
      </c>
      <c r="K8" s="20"/>
      <c r="L8" s="19" t="s">
        <v>15</v>
      </c>
      <c r="M8" s="21"/>
    </row>
    <row r="9" spans="2:17" ht="14.25" customHeight="1" x14ac:dyDescent="0.3">
      <c r="B9" s="13" t="s">
        <v>38</v>
      </c>
      <c r="D9" s="18" t="s">
        <v>58</v>
      </c>
      <c r="E9" s="19">
        <v>0.5</v>
      </c>
      <c r="F9" s="19"/>
      <c r="G9" s="19">
        <v>1000</v>
      </c>
      <c r="H9" s="19">
        <v>1000</v>
      </c>
      <c r="I9" s="19">
        <v>1000</v>
      </c>
      <c r="J9" s="19">
        <v>1000</v>
      </c>
      <c r="K9" s="20"/>
      <c r="L9" s="19" t="s">
        <v>15</v>
      </c>
      <c r="M9" s="21"/>
    </row>
    <row r="10" spans="2:17" ht="14.25" customHeight="1" x14ac:dyDescent="0.3">
      <c r="B10" s="14" t="s">
        <v>41</v>
      </c>
      <c r="D10" s="36" t="s">
        <v>62</v>
      </c>
      <c r="E10" s="37"/>
      <c r="F10" s="37"/>
      <c r="G10" s="37">
        <v>1200</v>
      </c>
      <c r="H10" s="37">
        <v>1200</v>
      </c>
      <c r="I10" s="37">
        <v>2400</v>
      </c>
      <c r="J10" s="37">
        <v>2400</v>
      </c>
      <c r="K10" s="20"/>
      <c r="L10" s="19" t="s">
        <v>15</v>
      </c>
      <c r="M10" s="21"/>
    </row>
    <row r="11" spans="2:17" ht="14.25" customHeight="1" x14ac:dyDescent="0.3">
      <c r="D11" s="56" t="s">
        <v>189</v>
      </c>
      <c r="E11" s="101"/>
      <c r="F11" s="101"/>
      <c r="G11" s="37">
        <v>1650</v>
      </c>
      <c r="H11" s="37">
        <v>1650</v>
      </c>
      <c r="I11" s="37">
        <v>3300</v>
      </c>
      <c r="J11" s="37">
        <v>3300</v>
      </c>
      <c r="K11" s="20"/>
      <c r="L11" s="19" t="s">
        <v>15</v>
      </c>
      <c r="M11" s="21"/>
    </row>
    <row r="12" spans="2:17" ht="14.25" customHeight="1" x14ac:dyDescent="0.3">
      <c r="B12" s="32" t="s">
        <v>145</v>
      </c>
      <c r="D12" s="36" t="s">
        <v>66</v>
      </c>
      <c r="E12" s="37"/>
      <c r="F12" s="37"/>
      <c r="G12" s="37">
        <v>170</v>
      </c>
      <c r="H12" s="37">
        <v>170</v>
      </c>
      <c r="I12" s="37">
        <v>170</v>
      </c>
      <c r="J12" s="37">
        <v>170</v>
      </c>
      <c r="K12" s="20"/>
      <c r="L12" s="19" t="s">
        <v>15</v>
      </c>
      <c r="M12" s="21"/>
    </row>
    <row r="13" spans="2:17" ht="14.25" customHeight="1" x14ac:dyDescent="0.3">
      <c r="B13" s="13" t="s">
        <v>142</v>
      </c>
      <c r="D13" s="36" t="s">
        <v>67</v>
      </c>
      <c r="E13" s="37"/>
      <c r="F13" s="37"/>
      <c r="G13" s="37">
        <v>1650</v>
      </c>
      <c r="H13" s="37">
        <v>1650</v>
      </c>
      <c r="I13" s="37">
        <v>3300</v>
      </c>
      <c r="J13" s="37">
        <v>3300</v>
      </c>
      <c r="K13" s="20"/>
      <c r="L13" s="19" t="s">
        <v>15</v>
      </c>
      <c r="M13" s="21"/>
    </row>
    <row r="14" spans="2:17" ht="14.25" customHeight="1" x14ac:dyDescent="0.3">
      <c r="B14" s="13" t="s">
        <v>6</v>
      </c>
      <c r="D14" s="36" t="s">
        <v>16</v>
      </c>
      <c r="E14" s="37"/>
      <c r="F14" s="37"/>
      <c r="G14" s="37">
        <v>1200</v>
      </c>
      <c r="H14" s="37">
        <v>1200</v>
      </c>
      <c r="I14" s="37">
        <v>4200</v>
      </c>
      <c r="J14" s="37">
        <v>4200</v>
      </c>
      <c r="K14" s="20"/>
      <c r="L14" s="19" t="s">
        <v>15</v>
      </c>
      <c r="M14" s="21"/>
    </row>
    <row r="15" spans="2:17" ht="14.25" customHeight="1" x14ac:dyDescent="0.3">
      <c r="B15" s="14" t="s">
        <v>143</v>
      </c>
      <c r="D15" s="36" t="s">
        <v>17</v>
      </c>
      <c r="E15" s="37">
        <v>1</v>
      </c>
      <c r="F15" s="37">
        <v>1</v>
      </c>
      <c r="G15" s="37">
        <v>2150</v>
      </c>
      <c r="H15" s="37">
        <v>2150</v>
      </c>
      <c r="I15" s="37">
        <v>2150</v>
      </c>
      <c r="J15" s="37">
        <v>2150</v>
      </c>
      <c r="K15" s="20" t="s">
        <v>144</v>
      </c>
      <c r="L15" s="19" t="s">
        <v>15</v>
      </c>
      <c r="M15" s="21"/>
    </row>
    <row r="16" spans="2:17" ht="14.25" customHeight="1" x14ac:dyDescent="0.3">
      <c r="D16" s="36" t="s">
        <v>18</v>
      </c>
      <c r="E16" s="37">
        <v>1</v>
      </c>
      <c r="F16" s="37">
        <v>1</v>
      </c>
      <c r="G16" s="37">
        <v>2100</v>
      </c>
      <c r="H16" s="37">
        <v>2100</v>
      </c>
      <c r="I16" s="37">
        <v>2100</v>
      </c>
      <c r="J16" s="37">
        <v>2100</v>
      </c>
      <c r="K16" s="20" t="s">
        <v>144</v>
      </c>
      <c r="L16" s="19" t="s">
        <v>15</v>
      </c>
      <c r="M16" s="21"/>
    </row>
    <row r="17" spans="2:19" ht="14.25" customHeight="1" x14ac:dyDescent="0.3">
      <c r="B17" s="44" t="s">
        <v>166</v>
      </c>
      <c r="D17" s="36" t="s">
        <v>69</v>
      </c>
      <c r="E17" s="37"/>
      <c r="F17" s="37"/>
      <c r="G17" s="37">
        <v>1300</v>
      </c>
      <c r="H17" s="37">
        <v>1300</v>
      </c>
      <c r="I17" s="37">
        <v>1500</v>
      </c>
      <c r="J17" s="37">
        <v>1500</v>
      </c>
      <c r="K17" s="20"/>
      <c r="L17" s="19" t="s">
        <v>15</v>
      </c>
      <c r="M17" s="21"/>
    </row>
    <row r="18" spans="2:19" ht="14.25" customHeight="1" x14ac:dyDescent="0.3">
      <c r="B18" s="13" t="s">
        <v>142</v>
      </c>
      <c r="D18" s="36" t="s">
        <v>74</v>
      </c>
      <c r="E18" s="37"/>
      <c r="F18" s="37"/>
      <c r="G18" s="37">
        <v>800</v>
      </c>
      <c r="H18" s="37">
        <v>800</v>
      </c>
      <c r="I18" s="37">
        <v>800</v>
      </c>
      <c r="J18" s="37">
        <v>800</v>
      </c>
      <c r="K18" s="20"/>
      <c r="L18" s="19" t="s">
        <v>15</v>
      </c>
      <c r="M18" s="21"/>
    </row>
    <row r="19" spans="2:19" ht="14.25" customHeight="1" x14ac:dyDescent="0.3">
      <c r="B19" s="13" t="s">
        <v>6</v>
      </c>
      <c r="D19" s="36" t="s">
        <v>75</v>
      </c>
      <c r="E19" s="37"/>
      <c r="F19" s="37"/>
      <c r="G19" s="37">
        <v>400</v>
      </c>
      <c r="H19" s="37">
        <v>400</v>
      </c>
      <c r="I19" s="37">
        <v>400</v>
      </c>
      <c r="J19" s="37">
        <v>400</v>
      </c>
      <c r="K19" s="20"/>
      <c r="L19" s="19" t="s">
        <v>15</v>
      </c>
      <c r="M19" s="21"/>
    </row>
    <row r="20" spans="2:19" ht="14.25" customHeight="1" x14ac:dyDescent="0.3">
      <c r="B20" s="13" t="s">
        <v>146</v>
      </c>
      <c r="D20" s="18" t="s">
        <v>76</v>
      </c>
      <c r="E20" s="19"/>
      <c r="F20" s="19"/>
      <c r="G20" s="19">
        <v>1000</v>
      </c>
      <c r="H20" s="19">
        <v>1000</v>
      </c>
      <c r="I20" s="19">
        <v>1000</v>
      </c>
      <c r="J20" s="19">
        <v>1000</v>
      </c>
      <c r="K20" s="20"/>
      <c r="L20" s="19" t="s">
        <v>15</v>
      </c>
      <c r="M20" s="21"/>
    </row>
    <row r="21" spans="2:19" ht="14.25" customHeight="1" x14ac:dyDescent="0.3">
      <c r="B21" s="14" t="s">
        <v>143</v>
      </c>
      <c r="D21" s="18" t="s">
        <v>86</v>
      </c>
      <c r="E21" s="19"/>
      <c r="F21" s="19"/>
      <c r="G21" s="19">
        <v>1200</v>
      </c>
      <c r="H21" s="19">
        <v>1200</v>
      </c>
      <c r="I21" s="19">
        <v>2925</v>
      </c>
      <c r="J21" s="19">
        <v>2925</v>
      </c>
      <c r="K21" s="20"/>
      <c r="L21" s="19" t="s">
        <v>15</v>
      </c>
      <c r="M21" s="21"/>
    </row>
    <row r="22" spans="2:19" ht="14.25" customHeight="1" x14ac:dyDescent="0.3">
      <c r="D22" s="18" t="s">
        <v>19</v>
      </c>
      <c r="E22" s="19">
        <v>0.5</v>
      </c>
      <c r="F22" s="19">
        <v>1</v>
      </c>
      <c r="G22" s="19">
        <v>1000</v>
      </c>
      <c r="H22" s="19">
        <v>1000</v>
      </c>
      <c r="I22" s="19">
        <v>1000</v>
      </c>
      <c r="J22" s="19">
        <v>1000</v>
      </c>
      <c r="K22" s="20"/>
      <c r="L22" s="19" t="s">
        <v>15</v>
      </c>
      <c r="M22" s="21"/>
    </row>
    <row r="23" spans="2:19" ht="14.25" customHeight="1" x14ac:dyDescent="0.3">
      <c r="B23" s="112" t="s">
        <v>210</v>
      </c>
      <c r="D23" s="18" t="s">
        <v>97</v>
      </c>
      <c r="E23" s="19"/>
      <c r="F23" s="19"/>
      <c r="G23" s="19">
        <v>700</v>
      </c>
      <c r="H23" s="19">
        <v>700</v>
      </c>
      <c r="I23" s="19">
        <v>700</v>
      </c>
      <c r="J23" s="19">
        <v>700</v>
      </c>
      <c r="K23" s="20"/>
      <c r="L23" s="19" t="s">
        <v>15</v>
      </c>
      <c r="M23" s="21"/>
    </row>
    <row r="24" spans="2:19" ht="14.25" customHeight="1" x14ac:dyDescent="0.3">
      <c r="B24" s="189" t="s">
        <v>159</v>
      </c>
      <c r="D24" s="18" t="s">
        <v>102</v>
      </c>
      <c r="E24" s="19"/>
      <c r="F24" s="19"/>
      <c r="G24" s="19">
        <v>200</v>
      </c>
      <c r="H24" s="19">
        <v>200</v>
      </c>
      <c r="I24" s="19">
        <v>700</v>
      </c>
      <c r="J24" s="19">
        <v>700</v>
      </c>
      <c r="K24" s="20"/>
      <c r="L24" s="19" t="s">
        <v>15</v>
      </c>
      <c r="M24" s="21"/>
    </row>
    <row r="25" spans="2:19" ht="14.25" customHeight="1" x14ac:dyDescent="0.3">
      <c r="B25" s="187" t="s">
        <v>160</v>
      </c>
      <c r="D25" s="18" t="s">
        <v>104</v>
      </c>
      <c r="E25" s="19"/>
      <c r="F25" s="19"/>
      <c r="G25" s="19">
        <v>160</v>
      </c>
      <c r="H25" s="19">
        <v>160</v>
      </c>
      <c r="I25" s="19">
        <v>180</v>
      </c>
      <c r="J25" s="19">
        <v>180</v>
      </c>
      <c r="K25" s="20"/>
      <c r="L25" s="19" t="s">
        <v>15</v>
      </c>
      <c r="M25" s="21"/>
    </row>
    <row r="26" spans="2:19" ht="14.25" customHeight="1" x14ac:dyDescent="0.3">
      <c r="B26" s="187" t="s">
        <v>161</v>
      </c>
      <c r="D26" s="18" t="s">
        <v>112</v>
      </c>
      <c r="E26" s="19"/>
      <c r="F26" s="19"/>
      <c r="G26" s="19">
        <v>850</v>
      </c>
      <c r="H26" s="19">
        <v>850</v>
      </c>
      <c r="I26" s="19">
        <v>850</v>
      </c>
      <c r="J26" s="19">
        <v>850</v>
      </c>
      <c r="K26" s="20"/>
      <c r="L26" s="19" t="s">
        <v>15</v>
      </c>
      <c r="M26" s="21"/>
    </row>
    <row r="27" spans="2:19" ht="14.25" customHeight="1" x14ac:dyDescent="0.3">
      <c r="B27" s="187" t="s">
        <v>162</v>
      </c>
      <c r="D27" s="18" t="s">
        <v>113</v>
      </c>
      <c r="E27" s="19"/>
      <c r="F27" s="19"/>
      <c r="G27" s="19">
        <v>1200</v>
      </c>
      <c r="H27" s="19">
        <v>1200</v>
      </c>
      <c r="I27" s="19">
        <v>1200</v>
      </c>
      <c r="J27" s="19">
        <v>1200</v>
      </c>
      <c r="K27" s="20"/>
      <c r="L27" s="19" t="s">
        <v>15</v>
      </c>
      <c r="M27" s="21"/>
    </row>
    <row r="28" spans="2:19" ht="14.25" customHeight="1" x14ac:dyDescent="0.3">
      <c r="B28" s="187" t="s">
        <v>163</v>
      </c>
      <c r="D28" s="18" t="s">
        <v>117</v>
      </c>
      <c r="E28" s="19"/>
      <c r="F28" s="19"/>
      <c r="G28" s="19">
        <v>1200</v>
      </c>
      <c r="H28" s="19">
        <v>1200</v>
      </c>
      <c r="I28" s="19">
        <v>2925</v>
      </c>
      <c r="J28" s="19">
        <v>2925</v>
      </c>
      <c r="K28" s="20"/>
      <c r="L28" s="19" t="s">
        <v>15</v>
      </c>
      <c r="M28" s="21"/>
    </row>
    <row r="29" spans="2:19" ht="14.25" customHeight="1" x14ac:dyDescent="0.3">
      <c r="B29" s="187" t="s">
        <v>164</v>
      </c>
      <c r="D29" s="18" t="s">
        <v>49</v>
      </c>
      <c r="E29" s="19"/>
      <c r="F29" s="19"/>
      <c r="G29" s="19">
        <v>1600</v>
      </c>
      <c r="H29" s="19">
        <v>1600</v>
      </c>
      <c r="I29" s="19">
        <v>6100</v>
      </c>
      <c r="J29" s="19">
        <v>6100</v>
      </c>
      <c r="K29" s="20"/>
      <c r="L29" s="19" t="s">
        <v>20</v>
      </c>
      <c r="M29" s="21"/>
    </row>
    <row r="30" spans="2:19" ht="14.25" customHeight="1" x14ac:dyDescent="0.3">
      <c r="B30" s="187" t="s">
        <v>228</v>
      </c>
      <c r="D30" s="18" t="s">
        <v>61</v>
      </c>
      <c r="E30" s="19"/>
      <c r="F30" s="19"/>
      <c r="G30" s="19">
        <v>1500</v>
      </c>
      <c r="H30" s="19">
        <v>1500</v>
      </c>
      <c r="I30" s="19">
        <v>1500</v>
      </c>
      <c r="J30" s="19">
        <v>1500</v>
      </c>
      <c r="K30" s="20"/>
      <c r="L30" s="19" t="s">
        <v>20</v>
      </c>
      <c r="M30" s="21"/>
    </row>
    <row r="31" spans="2:19" ht="14.25" customHeight="1" x14ac:dyDescent="0.3">
      <c r="B31" s="148" t="s">
        <v>227</v>
      </c>
      <c r="D31" s="18" t="s">
        <v>21</v>
      </c>
      <c r="E31" s="19"/>
      <c r="F31" s="19"/>
      <c r="G31" s="19">
        <v>216</v>
      </c>
      <c r="H31" s="19">
        <v>216</v>
      </c>
      <c r="I31" s="19">
        <v>540</v>
      </c>
      <c r="J31" s="19">
        <v>540</v>
      </c>
      <c r="K31" s="20"/>
      <c r="L31" s="19" t="s">
        <v>20</v>
      </c>
      <c r="M31" s="21"/>
    </row>
    <row r="32" spans="2:19" ht="14.25" customHeight="1" x14ac:dyDescent="0.3">
      <c r="D32" s="18" t="s">
        <v>64</v>
      </c>
      <c r="E32" s="19"/>
      <c r="F32" s="19"/>
      <c r="G32" s="19">
        <v>1500</v>
      </c>
      <c r="H32" s="19">
        <v>1500</v>
      </c>
      <c r="I32" s="19">
        <v>3000</v>
      </c>
      <c r="J32" s="19">
        <v>3000</v>
      </c>
      <c r="K32" s="20"/>
      <c r="L32" s="19" t="s">
        <v>20</v>
      </c>
      <c r="M32" s="21"/>
      <c r="S32" s="22"/>
    </row>
    <row r="33" spans="2:19" ht="14.25" customHeight="1" x14ac:dyDescent="0.3">
      <c r="B33" s="186" t="s">
        <v>7</v>
      </c>
      <c r="D33" s="18" t="s">
        <v>65</v>
      </c>
      <c r="E33" s="19"/>
      <c r="F33" s="19"/>
      <c r="G33" s="19">
        <v>200</v>
      </c>
      <c r="H33" s="19">
        <v>200</v>
      </c>
      <c r="I33" s="19">
        <v>200</v>
      </c>
      <c r="J33" s="19">
        <v>200</v>
      </c>
      <c r="K33" s="20"/>
      <c r="L33" s="19" t="s">
        <v>20</v>
      </c>
      <c r="M33" s="21"/>
      <c r="O33" s="136"/>
      <c r="S33" s="22"/>
    </row>
    <row r="34" spans="2:19" ht="14.25" customHeight="1" x14ac:dyDescent="0.3">
      <c r="B34" s="247" t="s">
        <v>281</v>
      </c>
      <c r="D34" s="18" t="s">
        <v>22</v>
      </c>
      <c r="E34" s="19">
        <v>4</v>
      </c>
      <c r="F34" s="19">
        <v>4</v>
      </c>
      <c r="G34" s="19">
        <v>5400</v>
      </c>
      <c r="H34" s="19">
        <v>5400</v>
      </c>
      <c r="I34" s="19">
        <v>6750</v>
      </c>
      <c r="J34" s="19">
        <v>6750</v>
      </c>
      <c r="K34" s="20" t="s">
        <v>144</v>
      </c>
      <c r="L34" s="19" t="s">
        <v>20</v>
      </c>
      <c r="M34" s="21"/>
      <c r="S34" s="22"/>
    </row>
    <row r="35" spans="2:19" ht="14.25" customHeight="1" x14ac:dyDescent="0.3">
      <c r="B35" s="247" t="s">
        <v>282</v>
      </c>
      <c r="D35" s="18" t="s">
        <v>68</v>
      </c>
      <c r="E35" s="19"/>
      <c r="F35" s="19"/>
      <c r="G35" s="19">
        <v>15</v>
      </c>
      <c r="H35" s="19">
        <v>15</v>
      </c>
      <c r="I35" s="19">
        <v>35</v>
      </c>
      <c r="J35" s="19">
        <v>35</v>
      </c>
      <c r="K35" s="20"/>
      <c r="L35" s="19" t="s">
        <v>20</v>
      </c>
      <c r="M35" s="21"/>
      <c r="P35" s="136"/>
      <c r="S35" s="22"/>
    </row>
    <row r="36" spans="2:19" ht="14.25" customHeight="1" x14ac:dyDescent="0.3">
      <c r="B36" s="248" t="s">
        <v>283</v>
      </c>
      <c r="D36" s="18" t="s">
        <v>23</v>
      </c>
      <c r="E36" s="19">
        <v>12</v>
      </c>
      <c r="F36" s="19">
        <v>12</v>
      </c>
      <c r="G36" s="19">
        <v>1920</v>
      </c>
      <c r="H36" s="19">
        <v>1920</v>
      </c>
      <c r="I36" s="19">
        <v>1920</v>
      </c>
      <c r="J36" s="19">
        <v>1920</v>
      </c>
      <c r="K36" s="20"/>
      <c r="L36" s="19" t="s">
        <v>20</v>
      </c>
      <c r="M36" s="21"/>
      <c r="S36" s="22"/>
    </row>
    <row r="37" spans="2:19" ht="14.25" customHeight="1" x14ac:dyDescent="0.3">
      <c r="D37" s="18" t="s">
        <v>70</v>
      </c>
      <c r="E37" s="19">
        <v>12</v>
      </c>
      <c r="F37" s="19">
        <v>12</v>
      </c>
      <c r="G37" s="19">
        <v>1440</v>
      </c>
      <c r="H37" s="19">
        <v>1440</v>
      </c>
      <c r="I37" s="19">
        <v>1440</v>
      </c>
      <c r="J37" s="19">
        <v>1440</v>
      </c>
      <c r="K37" s="20"/>
      <c r="L37" s="19" t="s">
        <v>20</v>
      </c>
      <c r="M37" s="21"/>
      <c r="S37" s="22"/>
    </row>
    <row r="38" spans="2:19" ht="14.25" customHeight="1" x14ac:dyDescent="0.3">
      <c r="B38" s="112" t="s">
        <v>260</v>
      </c>
      <c r="D38" s="18" t="s">
        <v>71</v>
      </c>
      <c r="E38" s="19">
        <v>8</v>
      </c>
      <c r="F38" s="19">
        <v>8</v>
      </c>
      <c r="G38" s="19">
        <v>11520</v>
      </c>
      <c r="H38" s="19">
        <v>11520</v>
      </c>
      <c r="I38" s="19">
        <v>11520</v>
      </c>
      <c r="J38" s="19">
        <v>11520</v>
      </c>
      <c r="K38" s="20" t="s">
        <v>144</v>
      </c>
      <c r="L38" s="19" t="s">
        <v>20</v>
      </c>
      <c r="M38" s="21"/>
      <c r="S38" s="22"/>
    </row>
    <row r="39" spans="2:19" ht="14.25" customHeight="1" x14ac:dyDescent="0.3">
      <c r="B39" s="42">
        <v>1</v>
      </c>
      <c r="D39" s="18" t="s">
        <v>72</v>
      </c>
      <c r="E39" s="19">
        <v>8</v>
      </c>
      <c r="F39" s="19">
        <v>8</v>
      </c>
      <c r="G39" s="19">
        <v>3840</v>
      </c>
      <c r="H39" s="19">
        <v>3840</v>
      </c>
      <c r="I39" s="19">
        <v>3840</v>
      </c>
      <c r="J39" s="19">
        <v>3840</v>
      </c>
      <c r="K39" s="20" t="s">
        <v>144</v>
      </c>
      <c r="L39" s="19" t="s">
        <v>20</v>
      </c>
      <c r="M39" s="21"/>
      <c r="S39" s="22"/>
    </row>
    <row r="40" spans="2:19" ht="14.25" customHeight="1" x14ac:dyDescent="0.3">
      <c r="B40" s="42">
        <f>B41/2</f>
        <v>48</v>
      </c>
      <c r="D40" s="18" t="s">
        <v>82</v>
      </c>
      <c r="E40" s="19"/>
      <c r="F40" s="19"/>
      <c r="G40" s="19">
        <v>875</v>
      </c>
      <c r="H40" s="19">
        <v>875</v>
      </c>
      <c r="I40" s="19">
        <v>2350</v>
      </c>
      <c r="J40" s="19">
        <v>2350</v>
      </c>
      <c r="K40" s="20"/>
      <c r="L40" s="19" t="s">
        <v>20</v>
      </c>
      <c r="M40" s="21"/>
      <c r="S40" s="22"/>
    </row>
    <row r="41" spans="2:19" ht="14.25" customHeight="1" x14ac:dyDescent="0.3">
      <c r="B41" s="148">
        <f>'User Interface'!C127*96</f>
        <v>96</v>
      </c>
      <c r="D41" s="18" t="s">
        <v>83</v>
      </c>
      <c r="E41" s="19"/>
      <c r="F41" s="19"/>
      <c r="G41" s="19">
        <v>450</v>
      </c>
      <c r="H41" s="19">
        <v>450</v>
      </c>
      <c r="I41" s="19">
        <v>450</v>
      </c>
      <c r="J41" s="19">
        <v>450</v>
      </c>
      <c r="K41" s="20"/>
      <c r="L41" s="19" t="s">
        <v>20</v>
      </c>
      <c r="M41" s="21"/>
      <c r="S41" s="22"/>
    </row>
    <row r="42" spans="2:19" ht="14.25" customHeight="1" x14ac:dyDescent="0.3">
      <c r="D42" s="18" t="s">
        <v>84</v>
      </c>
      <c r="E42" s="19"/>
      <c r="F42" s="19"/>
      <c r="G42" s="19">
        <v>700</v>
      </c>
      <c r="H42" s="19">
        <v>700</v>
      </c>
      <c r="I42" s="19">
        <v>2500</v>
      </c>
      <c r="J42" s="19">
        <v>2500</v>
      </c>
      <c r="K42" s="20" t="s">
        <v>144</v>
      </c>
      <c r="L42" s="19" t="s">
        <v>20</v>
      </c>
      <c r="M42" s="21"/>
      <c r="S42" s="22"/>
    </row>
    <row r="43" spans="2:19" ht="14.25" customHeight="1" x14ac:dyDescent="0.3">
      <c r="D43" s="18" t="s">
        <v>85</v>
      </c>
      <c r="E43" s="19"/>
      <c r="F43" s="19"/>
      <c r="G43" s="19">
        <v>1250</v>
      </c>
      <c r="H43" s="19">
        <v>1250</v>
      </c>
      <c r="I43" s="19">
        <v>1250</v>
      </c>
      <c r="J43" s="19">
        <v>1250</v>
      </c>
      <c r="K43" s="20"/>
      <c r="L43" s="19" t="s">
        <v>20</v>
      </c>
      <c r="M43" s="21"/>
      <c r="S43" s="22"/>
    </row>
    <row r="44" spans="2:19" ht="14.25" customHeight="1" x14ac:dyDescent="0.3">
      <c r="D44" s="18" t="s">
        <v>88</v>
      </c>
      <c r="E44" s="19"/>
      <c r="F44" s="19"/>
      <c r="G44" s="19">
        <v>50</v>
      </c>
      <c r="H44" s="19">
        <v>50</v>
      </c>
      <c r="I44" s="19">
        <v>200</v>
      </c>
      <c r="J44" s="19">
        <v>200</v>
      </c>
      <c r="K44" s="20"/>
      <c r="L44" s="19" t="s">
        <v>20</v>
      </c>
      <c r="M44" s="21"/>
      <c r="S44" s="22"/>
    </row>
    <row r="45" spans="2:19" ht="14.25" customHeight="1" x14ac:dyDescent="0.3">
      <c r="D45" s="18" t="s">
        <v>89</v>
      </c>
      <c r="E45" s="19"/>
      <c r="F45" s="19"/>
      <c r="G45" s="19">
        <v>1200</v>
      </c>
      <c r="H45" s="19">
        <v>1200</v>
      </c>
      <c r="I45" s="19">
        <v>1200</v>
      </c>
      <c r="J45" s="19">
        <v>1200</v>
      </c>
      <c r="K45" s="20"/>
      <c r="L45" s="19" t="s">
        <v>20</v>
      </c>
      <c r="M45" s="21"/>
      <c r="S45" s="22"/>
    </row>
    <row r="46" spans="2:19" ht="14.25" customHeight="1" x14ac:dyDescent="0.3">
      <c r="D46" s="56" t="s">
        <v>191</v>
      </c>
      <c r="E46" s="101"/>
      <c r="F46" s="101"/>
      <c r="G46" s="19">
        <v>650</v>
      </c>
      <c r="H46" s="19">
        <v>650</v>
      </c>
      <c r="I46" s="19">
        <v>950</v>
      </c>
      <c r="J46" s="19">
        <v>950</v>
      </c>
      <c r="K46" s="22"/>
      <c r="L46" s="19" t="s">
        <v>20</v>
      </c>
      <c r="M46" s="21"/>
    </row>
    <row r="47" spans="2:19" ht="14.25" customHeight="1" x14ac:dyDescent="0.3">
      <c r="D47" s="18" t="s">
        <v>24</v>
      </c>
      <c r="E47" s="19"/>
      <c r="F47" s="19"/>
      <c r="G47" s="19">
        <v>250</v>
      </c>
      <c r="H47" s="19">
        <v>250</v>
      </c>
      <c r="I47" s="19">
        <v>250</v>
      </c>
      <c r="J47" s="19">
        <v>250</v>
      </c>
      <c r="K47" s="22"/>
      <c r="L47" s="19" t="s">
        <v>20</v>
      </c>
      <c r="M47" s="21"/>
    </row>
    <row r="48" spans="2:19" ht="14.25" customHeight="1" x14ac:dyDescent="0.3">
      <c r="D48" s="18" t="s">
        <v>103</v>
      </c>
      <c r="E48" s="19"/>
      <c r="F48" s="19"/>
      <c r="G48" s="19">
        <v>500</v>
      </c>
      <c r="H48" s="19">
        <v>500</v>
      </c>
      <c r="I48" s="19">
        <v>500</v>
      </c>
      <c r="J48" s="19">
        <v>500</v>
      </c>
      <c r="K48" s="20"/>
      <c r="L48" s="19" t="s">
        <v>20</v>
      </c>
      <c r="M48" s="21"/>
    </row>
    <row r="49" spans="4:13" ht="14.25" customHeight="1" x14ac:dyDescent="0.3">
      <c r="D49" s="18" t="s">
        <v>105</v>
      </c>
      <c r="E49" s="19"/>
      <c r="F49" s="19"/>
      <c r="G49" s="19">
        <v>2200</v>
      </c>
      <c r="H49" s="19">
        <v>2200</v>
      </c>
      <c r="I49" s="19">
        <v>2500</v>
      </c>
      <c r="J49" s="19">
        <v>2500</v>
      </c>
      <c r="K49" s="20"/>
      <c r="L49" s="19" t="s">
        <v>20</v>
      </c>
      <c r="M49" s="21"/>
    </row>
    <row r="50" spans="4:13" ht="14.25" customHeight="1" x14ac:dyDescent="0.3">
      <c r="D50" s="18" t="s">
        <v>106</v>
      </c>
      <c r="E50" s="19"/>
      <c r="F50" s="19"/>
      <c r="G50" s="19">
        <v>75</v>
      </c>
      <c r="H50" s="19">
        <v>75</v>
      </c>
      <c r="I50" s="19">
        <v>375</v>
      </c>
      <c r="J50" s="19">
        <v>375</v>
      </c>
      <c r="K50" s="20"/>
      <c r="L50" s="19" t="s">
        <v>20</v>
      </c>
      <c r="M50" s="21"/>
    </row>
    <row r="51" spans="4:13" ht="14.25" customHeight="1" x14ac:dyDescent="0.3">
      <c r="D51" s="18" t="s">
        <v>25</v>
      </c>
      <c r="E51" s="19"/>
      <c r="F51" s="19"/>
      <c r="G51" s="19">
        <v>200</v>
      </c>
      <c r="H51" s="19">
        <v>200</v>
      </c>
      <c r="I51" s="19">
        <v>400</v>
      </c>
      <c r="J51" s="19">
        <v>400</v>
      </c>
      <c r="K51" s="20"/>
      <c r="L51" s="19" t="s">
        <v>20</v>
      </c>
      <c r="M51" s="21"/>
    </row>
    <row r="52" spans="4:13" ht="14.25" customHeight="1" x14ac:dyDescent="0.3">
      <c r="D52" s="18" t="s">
        <v>26</v>
      </c>
      <c r="E52" s="19">
        <v>4</v>
      </c>
      <c r="F52" s="19">
        <v>4</v>
      </c>
      <c r="G52" s="19">
        <v>1150</v>
      </c>
      <c r="H52" s="19">
        <v>1150</v>
      </c>
      <c r="I52" s="19">
        <v>3400</v>
      </c>
      <c r="J52" s="19">
        <v>3400</v>
      </c>
      <c r="K52" s="20" t="s">
        <v>144</v>
      </c>
      <c r="L52" s="19" t="s">
        <v>20</v>
      </c>
      <c r="M52" s="21"/>
    </row>
    <row r="53" spans="4:13" ht="14.25" customHeight="1" x14ac:dyDescent="0.3">
      <c r="D53" s="18" t="s">
        <v>51</v>
      </c>
      <c r="E53" s="19"/>
      <c r="F53" s="19"/>
      <c r="G53" s="19">
        <v>3</v>
      </c>
      <c r="H53" s="19">
        <v>3</v>
      </c>
      <c r="I53" s="19">
        <v>3</v>
      </c>
      <c r="J53" s="19">
        <v>3</v>
      </c>
      <c r="K53" s="20"/>
      <c r="L53" s="19" t="s">
        <v>27</v>
      </c>
      <c r="M53" s="21"/>
    </row>
    <row r="54" spans="4:13" ht="14.25" customHeight="1" x14ac:dyDescent="0.3">
      <c r="D54" s="18" t="s">
        <v>52</v>
      </c>
      <c r="E54" s="19"/>
      <c r="F54" s="19"/>
      <c r="G54" s="19">
        <v>3</v>
      </c>
      <c r="H54" s="19">
        <v>3</v>
      </c>
      <c r="I54" s="19">
        <v>6</v>
      </c>
      <c r="J54" s="19">
        <v>6</v>
      </c>
      <c r="K54" s="20"/>
      <c r="L54" s="19" t="s">
        <v>27</v>
      </c>
      <c r="M54" s="21"/>
    </row>
    <row r="55" spans="4:13" ht="14.25" customHeight="1" x14ac:dyDescent="0.3">
      <c r="D55" s="18" t="s">
        <v>53</v>
      </c>
      <c r="E55" s="19"/>
      <c r="F55" s="19"/>
      <c r="G55" s="19">
        <v>450</v>
      </c>
      <c r="H55" s="19">
        <v>450</v>
      </c>
      <c r="I55" s="19">
        <v>450</v>
      </c>
      <c r="J55" s="19">
        <v>450</v>
      </c>
      <c r="K55" s="20"/>
      <c r="L55" s="19" t="s">
        <v>27</v>
      </c>
      <c r="M55" s="21"/>
    </row>
    <row r="56" spans="4:13" ht="14.25" customHeight="1" x14ac:dyDescent="0.3">
      <c r="D56" s="18" t="s">
        <v>59</v>
      </c>
      <c r="E56" s="19">
        <v>6</v>
      </c>
      <c r="F56" s="19">
        <v>6</v>
      </c>
      <c r="G56" s="19">
        <v>800</v>
      </c>
      <c r="H56" s="19">
        <v>800</v>
      </c>
      <c r="I56" s="19">
        <v>800</v>
      </c>
      <c r="J56" s="19">
        <v>800</v>
      </c>
      <c r="K56" s="20"/>
      <c r="L56" s="19" t="s">
        <v>27</v>
      </c>
      <c r="M56" s="21"/>
    </row>
    <row r="57" spans="4:13" ht="14.25" customHeight="1" x14ac:dyDescent="0.3">
      <c r="D57" s="18" t="s">
        <v>28</v>
      </c>
      <c r="E57" s="19">
        <v>6</v>
      </c>
      <c r="F57" s="19">
        <v>6</v>
      </c>
      <c r="G57" s="19">
        <v>250</v>
      </c>
      <c r="H57" s="19">
        <v>250</v>
      </c>
      <c r="I57" s="19">
        <v>250</v>
      </c>
      <c r="J57" s="19">
        <v>250</v>
      </c>
      <c r="K57" s="20"/>
      <c r="L57" s="19" t="s">
        <v>27</v>
      </c>
      <c r="M57" s="21"/>
    </row>
    <row r="58" spans="4:13" ht="14.25" customHeight="1" x14ac:dyDescent="0.3">
      <c r="D58" s="18" t="s">
        <v>60</v>
      </c>
      <c r="E58" s="19">
        <v>6</v>
      </c>
      <c r="F58" s="19">
        <v>6</v>
      </c>
      <c r="G58" s="19">
        <v>30</v>
      </c>
      <c r="H58" s="19">
        <v>30</v>
      </c>
      <c r="I58" s="19">
        <v>30</v>
      </c>
      <c r="J58" s="19">
        <v>30</v>
      </c>
      <c r="K58" s="20"/>
      <c r="L58" s="19" t="s">
        <v>27</v>
      </c>
      <c r="M58" s="21"/>
    </row>
    <row r="59" spans="4:13" ht="14.25" customHeight="1" x14ac:dyDescent="0.3">
      <c r="D59" s="18" t="s">
        <v>81</v>
      </c>
      <c r="E59" s="19"/>
      <c r="F59" s="19"/>
      <c r="G59" s="19">
        <v>150</v>
      </c>
      <c r="H59" s="19">
        <v>150</v>
      </c>
      <c r="I59" s="19">
        <v>150</v>
      </c>
      <c r="J59" s="19">
        <v>150</v>
      </c>
      <c r="K59" s="20"/>
      <c r="L59" s="19" t="s">
        <v>27</v>
      </c>
      <c r="M59" s="21"/>
    </row>
    <row r="60" spans="4:13" ht="14.25" customHeight="1" x14ac:dyDescent="0.3">
      <c r="D60" s="18" t="s">
        <v>29</v>
      </c>
      <c r="E60" s="19">
        <v>24</v>
      </c>
      <c r="F60" s="19">
        <v>24</v>
      </c>
      <c r="G60" s="19">
        <v>5</v>
      </c>
      <c r="H60" s="19">
        <v>5</v>
      </c>
      <c r="I60" s="19">
        <v>20</v>
      </c>
      <c r="J60" s="19">
        <v>20</v>
      </c>
      <c r="K60" s="20"/>
      <c r="L60" s="19" t="s">
        <v>27</v>
      </c>
      <c r="M60" s="21"/>
    </row>
    <row r="61" spans="4:13" ht="14.25" customHeight="1" x14ac:dyDescent="0.3">
      <c r="D61" s="18" t="s">
        <v>98</v>
      </c>
      <c r="E61" s="19"/>
      <c r="F61" s="19"/>
      <c r="G61" s="19">
        <v>500</v>
      </c>
      <c r="H61" s="19">
        <v>500</v>
      </c>
      <c r="I61" s="19">
        <v>500</v>
      </c>
      <c r="J61" s="19">
        <v>500</v>
      </c>
      <c r="K61" s="20"/>
      <c r="L61" s="19" t="s">
        <v>27</v>
      </c>
      <c r="M61" s="21"/>
    </row>
    <row r="62" spans="4:13" ht="14.25" customHeight="1" x14ac:dyDescent="0.3">
      <c r="D62" s="56" t="s">
        <v>190</v>
      </c>
      <c r="E62" s="101"/>
      <c r="F62" s="101"/>
      <c r="G62" s="19">
        <v>450</v>
      </c>
      <c r="H62" s="19">
        <v>450</v>
      </c>
      <c r="I62" s="19">
        <v>450</v>
      </c>
      <c r="J62" s="19">
        <v>450</v>
      </c>
      <c r="K62" s="20"/>
      <c r="L62" s="19" t="s">
        <v>27</v>
      </c>
      <c r="M62" s="21"/>
    </row>
    <row r="63" spans="4:13" ht="14.25" customHeight="1" x14ac:dyDescent="0.3">
      <c r="D63" s="18" t="s">
        <v>109</v>
      </c>
      <c r="E63" s="19">
        <v>4.5</v>
      </c>
      <c r="F63" s="19">
        <v>4.5</v>
      </c>
      <c r="G63" s="19">
        <v>17</v>
      </c>
      <c r="H63" s="19">
        <v>17</v>
      </c>
      <c r="I63" s="19">
        <v>17</v>
      </c>
      <c r="J63" s="19">
        <v>17</v>
      </c>
      <c r="K63" s="20"/>
      <c r="L63" s="19" t="s">
        <v>27</v>
      </c>
      <c r="M63" s="21"/>
    </row>
    <row r="64" spans="4:13" ht="14.25" customHeight="1" x14ac:dyDescent="0.3">
      <c r="D64" s="18" t="s">
        <v>110</v>
      </c>
      <c r="E64" s="19">
        <v>4.5</v>
      </c>
      <c r="F64" s="19">
        <v>4.5</v>
      </c>
      <c r="G64" s="19">
        <v>240</v>
      </c>
      <c r="H64" s="19">
        <v>240</v>
      </c>
      <c r="I64" s="19">
        <v>240</v>
      </c>
      <c r="J64" s="19">
        <v>240</v>
      </c>
      <c r="K64" s="20"/>
      <c r="L64" s="19" t="s">
        <v>27</v>
      </c>
      <c r="M64" s="21"/>
    </row>
    <row r="65" spans="4:13" ht="14.25" customHeight="1" x14ac:dyDescent="0.3">
      <c r="D65" s="18" t="s">
        <v>30</v>
      </c>
      <c r="E65" s="19">
        <v>4.5</v>
      </c>
      <c r="F65" s="19">
        <v>4.5</v>
      </c>
      <c r="G65" s="19">
        <v>85</v>
      </c>
      <c r="H65" s="19">
        <v>85</v>
      </c>
      <c r="I65" s="19">
        <v>85</v>
      </c>
      <c r="J65" s="19">
        <v>85</v>
      </c>
      <c r="K65" s="20"/>
      <c r="L65" s="19" t="s">
        <v>27</v>
      </c>
      <c r="M65" s="21"/>
    </row>
    <row r="66" spans="4:13" ht="14.25" customHeight="1" x14ac:dyDescent="0.3">
      <c r="D66" s="18" t="s">
        <v>111</v>
      </c>
      <c r="E66" s="19">
        <v>4.5</v>
      </c>
      <c r="F66" s="19">
        <v>4.5</v>
      </c>
      <c r="G66" s="19">
        <v>230</v>
      </c>
      <c r="H66" s="19">
        <v>230</v>
      </c>
      <c r="I66" s="19">
        <v>230</v>
      </c>
      <c r="J66" s="19">
        <v>230</v>
      </c>
      <c r="K66" s="20"/>
      <c r="L66" s="19" t="s">
        <v>27</v>
      </c>
      <c r="M66" s="21"/>
    </row>
    <row r="67" spans="4:13" ht="14.25" customHeight="1" x14ac:dyDescent="0.3">
      <c r="D67" s="18" t="s">
        <v>114</v>
      </c>
      <c r="E67" s="19"/>
      <c r="F67" s="19"/>
      <c r="G67" s="19">
        <v>280</v>
      </c>
      <c r="H67" s="19">
        <v>280</v>
      </c>
      <c r="I67" s="19">
        <v>1180</v>
      </c>
      <c r="J67" s="19">
        <v>1180</v>
      </c>
      <c r="K67" s="20"/>
      <c r="L67" s="19" t="s">
        <v>27</v>
      </c>
      <c r="M67" s="21"/>
    </row>
    <row r="68" spans="4:13" ht="14.25" customHeight="1" x14ac:dyDescent="0.3">
      <c r="D68" s="18" t="s">
        <v>115</v>
      </c>
      <c r="E68" s="19"/>
      <c r="F68" s="19"/>
      <c r="G68" s="19">
        <v>100</v>
      </c>
      <c r="H68" s="19">
        <v>100</v>
      </c>
      <c r="I68" s="19">
        <v>100</v>
      </c>
      <c r="J68" s="19">
        <v>100</v>
      </c>
      <c r="K68" s="20"/>
      <c r="L68" s="19" t="s">
        <v>27</v>
      </c>
      <c r="M68" s="21"/>
    </row>
    <row r="69" spans="4:13" ht="14.25" customHeight="1" x14ac:dyDescent="0.3">
      <c r="D69" s="18" t="s">
        <v>116</v>
      </c>
      <c r="E69" s="19"/>
      <c r="F69" s="19"/>
      <c r="G69" s="19">
        <v>40</v>
      </c>
      <c r="H69" s="19">
        <v>40</v>
      </c>
      <c r="I69" s="19">
        <v>40</v>
      </c>
      <c r="J69" s="19">
        <v>40</v>
      </c>
      <c r="K69" s="20"/>
      <c r="L69" s="19" t="s">
        <v>27</v>
      </c>
      <c r="M69" s="21"/>
    </row>
    <row r="70" spans="4:13" ht="14.25" customHeight="1" x14ac:dyDescent="0.3">
      <c r="D70" s="56" t="s">
        <v>192</v>
      </c>
      <c r="E70" s="101"/>
      <c r="F70" s="101"/>
      <c r="G70" s="19">
        <v>350</v>
      </c>
      <c r="H70" s="19">
        <v>350</v>
      </c>
      <c r="I70" s="19">
        <v>850</v>
      </c>
      <c r="J70" s="19">
        <v>850</v>
      </c>
      <c r="K70" s="20"/>
      <c r="L70" s="19" t="s">
        <v>31</v>
      </c>
      <c r="M70" s="21"/>
    </row>
    <row r="71" spans="4:13" ht="14.25" customHeight="1" x14ac:dyDescent="0.3">
      <c r="D71" s="18" t="s">
        <v>32</v>
      </c>
      <c r="E71" s="19"/>
      <c r="F71" s="19"/>
      <c r="G71" s="19">
        <v>500</v>
      </c>
      <c r="H71" s="19">
        <v>500</v>
      </c>
      <c r="I71" s="19">
        <v>2000</v>
      </c>
      <c r="J71" s="19">
        <v>2000</v>
      </c>
      <c r="K71" s="20"/>
      <c r="L71" s="19" t="s">
        <v>31</v>
      </c>
      <c r="M71" s="21"/>
    </row>
    <row r="72" spans="4:13" ht="14.25" customHeight="1" x14ac:dyDescent="0.3">
      <c r="D72" s="18" t="s">
        <v>91</v>
      </c>
      <c r="E72" s="19"/>
      <c r="F72" s="19"/>
      <c r="G72" s="19">
        <v>350</v>
      </c>
      <c r="H72" s="19">
        <v>350</v>
      </c>
      <c r="I72" s="19">
        <v>850</v>
      </c>
      <c r="J72" s="19">
        <v>850</v>
      </c>
      <c r="K72" s="20"/>
      <c r="L72" s="19" t="s">
        <v>31</v>
      </c>
      <c r="M72" s="21"/>
    </row>
    <row r="73" spans="4:13" ht="14.25" customHeight="1" x14ac:dyDescent="0.3">
      <c r="D73" s="18" t="s">
        <v>99</v>
      </c>
      <c r="E73" s="19">
        <v>12</v>
      </c>
      <c r="F73" s="19">
        <v>12</v>
      </c>
      <c r="G73" s="23">
        <v>256.16438356164383</v>
      </c>
      <c r="H73" s="23">
        <v>256.16438356164383</v>
      </c>
      <c r="I73" s="23">
        <v>768.49315068493149</v>
      </c>
      <c r="J73" s="23">
        <v>768.49315068493149</v>
      </c>
      <c r="K73" s="22"/>
      <c r="L73" s="19" t="s">
        <v>31</v>
      </c>
      <c r="M73" s="24" t="s">
        <v>147</v>
      </c>
    </row>
    <row r="74" spans="4:13" ht="14.25" customHeight="1" x14ac:dyDescent="0.3">
      <c r="D74" s="18" t="s">
        <v>100</v>
      </c>
      <c r="E74" s="19">
        <v>12</v>
      </c>
      <c r="F74" s="19">
        <v>12</v>
      </c>
      <c r="G74" s="23">
        <v>210.61643835616439</v>
      </c>
      <c r="H74" s="23">
        <v>210.61643835616439</v>
      </c>
      <c r="I74" s="23">
        <v>631.84931506849318</v>
      </c>
      <c r="J74" s="23">
        <v>631.84931506849318</v>
      </c>
      <c r="K74" s="22"/>
      <c r="L74" s="19" t="s">
        <v>31</v>
      </c>
      <c r="M74" s="24" t="s">
        <v>148</v>
      </c>
    </row>
    <row r="75" spans="4:13" ht="14.25" customHeight="1" x14ac:dyDescent="0.3">
      <c r="D75" s="18" t="s">
        <v>101</v>
      </c>
      <c r="E75" s="19">
        <v>12</v>
      </c>
      <c r="F75" s="19">
        <v>12</v>
      </c>
      <c r="G75" s="23">
        <v>113.69863013698631</v>
      </c>
      <c r="H75" s="23">
        <v>113.69863013698631</v>
      </c>
      <c r="I75" s="23">
        <v>341.09589041095893</v>
      </c>
      <c r="J75" s="23">
        <v>341.09589041095893</v>
      </c>
      <c r="K75" s="22"/>
      <c r="L75" s="19" t="s">
        <v>31</v>
      </c>
      <c r="M75" s="24" t="s">
        <v>149</v>
      </c>
    </row>
    <row r="76" spans="4:13" ht="14.25" customHeight="1" x14ac:dyDescent="0.3">
      <c r="D76" s="252" t="s">
        <v>279</v>
      </c>
      <c r="E76" s="19"/>
      <c r="F76" s="19"/>
      <c r="G76" s="23"/>
      <c r="H76" s="23" t="s">
        <v>280</v>
      </c>
      <c r="I76" s="266">
        <f>MAX('HVAC Appliances'!D6:D101)*1.33</f>
        <v>0</v>
      </c>
      <c r="J76" s="23"/>
      <c r="K76" s="22"/>
      <c r="L76" s="19" t="s">
        <v>33</v>
      </c>
      <c r="M76" s="263" t="s">
        <v>287</v>
      </c>
    </row>
    <row r="77" spans="4:13" ht="14.25" customHeight="1" x14ac:dyDescent="0.3">
      <c r="D77" s="18" t="s">
        <v>34</v>
      </c>
      <c r="E77" s="19">
        <v>14</v>
      </c>
      <c r="F77" s="19">
        <v>14</v>
      </c>
      <c r="G77" s="19">
        <v>60</v>
      </c>
      <c r="H77" s="19">
        <v>60</v>
      </c>
      <c r="I77" s="19">
        <v>130</v>
      </c>
      <c r="J77" s="19">
        <v>130</v>
      </c>
      <c r="K77" s="20"/>
      <c r="L77" s="19" t="s">
        <v>33</v>
      </c>
      <c r="M77" s="21"/>
    </row>
    <row r="78" spans="4:13" ht="14.25" customHeight="1" x14ac:dyDescent="0.3">
      <c r="D78" s="252" t="s">
        <v>277</v>
      </c>
      <c r="E78" s="19"/>
      <c r="F78" s="19"/>
      <c r="G78" s="19"/>
      <c r="H78" s="245" t="s">
        <v>280</v>
      </c>
      <c r="I78" s="265">
        <f>MAX('HVAC Appliances'!B6:B101)*0.724</f>
        <v>0</v>
      </c>
      <c r="J78" s="19"/>
      <c r="K78" s="20"/>
      <c r="L78" s="19" t="s">
        <v>33</v>
      </c>
      <c r="M78" s="263" t="s">
        <v>287</v>
      </c>
    </row>
    <row r="79" spans="4:13" ht="14.25" customHeight="1" x14ac:dyDescent="0.3">
      <c r="D79" s="18" t="s">
        <v>63</v>
      </c>
      <c r="E79" s="19"/>
      <c r="F79" s="19"/>
      <c r="G79" s="19">
        <v>240</v>
      </c>
      <c r="H79" s="19">
        <v>240</v>
      </c>
      <c r="I79" s="19">
        <v>240</v>
      </c>
      <c r="J79" s="19">
        <v>240</v>
      </c>
      <c r="K79" s="20"/>
      <c r="L79" s="19" t="s">
        <v>33</v>
      </c>
      <c r="M79" s="21"/>
    </row>
    <row r="80" spans="4:13" ht="14.25" customHeight="1" x14ac:dyDescent="0.3">
      <c r="D80" s="252" t="s">
        <v>278</v>
      </c>
      <c r="E80" s="19"/>
      <c r="F80" s="19"/>
      <c r="G80" s="19"/>
      <c r="H80" s="245" t="s">
        <v>280</v>
      </c>
      <c r="I80" s="265">
        <f>MAX('HVAC Appliances'!C6:C101)*0.7</f>
        <v>0</v>
      </c>
      <c r="J80" s="19"/>
      <c r="K80" s="20"/>
      <c r="L80" s="19" t="s">
        <v>33</v>
      </c>
      <c r="M80" s="21" t="s">
        <v>287</v>
      </c>
    </row>
    <row r="81" spans="2:13" ht="14.25" customHeight="1" x14ac:dyDescent="0.3">
      <c r="D81" s="18" t="s">
        <v>87</v>
      </c>
      <c r="E81" s="19"/>
      <c r="F81" s="19"/>
      <c r="G81" s="19">
        <v>175</v>
      </c>
      <c r="H81" s="19">
        <v>175</v>
      </c>
      <c r="I81" s="19">
        <v>175</v>
      </c>
      <c r="J81" s="19">
        <v>175</v>
      </c>
      <c r="K81" s="20"/>
      <c r="L81" s="19" t="s">
        <v>33</v>
      </c>
      <c r="M81" s="21"/>
    </row>
    <row r="82" spans="2:13" ht="14.25" customHeight="1" x14ac:dyDescent="0.3">
      <c r="D82" s="18" t="s">
        <v>96</v>
      </c>
      <c r="E82" s="19"/>
      <c r="F82" s="19"/>
      <c r="G82" s="19">
        <v>120</v>
      </c>
      <c r="H82" s="19">
        <v>120</v>
      </c>
      <c r="I82" s="19">
        <v>160</v>
      </c>
      <c r="J82" s="19">
        <v>160</v>
      </c>
      <c r="K82" s="20"/>
      <c r="L82" s="19" t="s">
        <v>33</v>
      </c>
      <c r="M82" s="21"/>
    </row>
    <row r="83" spans="2:13" ht="14.25" customHeight="1" x14ac:dyDescent="0.3">
      <c r="D83" s="18" t="s">
        <v>37</v>
      </c>
      <c r="E83" s="19"/>
      <c r="F83" s="19"/>
      <c r="G83" s="19">
        <v>1800</v>
      </c>
      <c r="H83" s="19">
        <v>1800</v>
      </c>
      <c r="I83" s="19">
        <v>1800</v>
      </c>
      <c r="J83" s="19">
        <v>1800</v>
      </c>
      <c r="K83" s="20"/>
      <c r="L83" s="19" t="s">
        <v>33</v>
      </c>
      <c r="M83" s="21"/>
    </row>
    <row r="84" spans="2:13" ht="14.25" customHeight="1" x14ac:dyDescent="0.3">
      <c r="B84" s="22"/>
      <c r="D84" s="18" t="s">
        <v>90</v>
      </c>
      <c r="E84" s="19">
        <v>2</v>
      </c>
      <c r="F84" s="19">
        <v>2</v>
      </c>
      <c r="G84" s="19">
        <v>60</v>
      </c>
      <c r="H84" s="19">
        <v>60</v>
      </c>
      <c r="I84" s="19">
        <v>60</v>
      </c>
      <c r="J84" s="19">
        <v>60</v>
      </c>
      <c r="K84" s="20"/>
      <c r="L84" s="19" t="s">
        <v>38</v>
      </c>
      <c r="M84" s="21"/>
    </row>
    <row r="85" spans="2:13" ht="14.25" customHeight="1" x14ac:dyDescent="0.3">
      <c r="B85" s="22"/>
      <c r="D85" s="18" t="s">
        <v>39</v>
      </c>
      <c r="E85" s="19">
        <v>7</v>
      </c>
      <c r="F85" s="19">
        <v>7</v>
      </c>
      <c r="G85" s="19">
        <v>75</v>
      </c>
      <c r="H85" s="19">
        <v>75</v>
      </c>
      <c r="I85" s="19">
        <v>75</v>
      </c>
      <c r="J85" s="19">
        <v>75</v>
      </c>
      <c r="K85" s="20"/>
      <c r="L85" s="19" t="s">
        <v>38</v>
      </c>
      <c r="M85" s="21"/>
    </row>
    <row r="86" spans="2:13" ht="14.25" customHeight="1" x14ac:dyDescent="0.3">
      <c r="B86" s="22"/>
      <c r="D86" s="18" t="s">
        <v>40</v>
      </c>
      <c r="E86" s="19">
        <v>7</v>
      </c>
      <c r="F86" s="19">
        <v>7</v>
      </c>
      <c r="G86" s="19">
        <v>9</v>
      </c>
      <c r="H86" s="19">
        <v>9</v>
      </c>
      <c r="I86" s="19">
        <v>9</v>
      </c>
      <c r="J86" s="19">
        <v>9</v>
      </c>
      <c r="K86" s="20"/>
      <c r="L86" s="19" t="s">
        <v>38</v>
      </c>
      <c r="M86" s="21"/>
    </row>
    <row r="87" spans="2:13" ht="14.25" customHeight="1" x14ac:dyDescent="0.3">
      <c r="B87" s="22"/>
      <c r="D87" s="18" t="s">
        <v>92</v>
      </c>
      <c r="E87" s="19">
        <v>8</v>
      </c>
      <c r="F87" s="19">
        <v>8</v>
      </c>
      <c r="G87" s="19">
        <v>1</v>
      </c>
      <c r="H87" s="19">
        <v>1</v>
      </c>
      <c r="I87" s="19">
        <v>1</v>
      </c>
      <c r="J87" s="19">
        <v>1</v>
      </c>
      <c r="K87" s="20"/>
      <c r="L87" s="19" t="s">
        <v>38</v>
      </c>
      <c r="M87" s="21"/>
    </row>
    <row r="88" spans="2:13" ht="14.25" customHeight="1" x14ac:dyDescent="0.3">
      <c r="B88" s="22"/>
      <c r="D88" s="18" t="s">
        <v>42</v>
      </c>
      <c r="E88" s="19"/>
      <c r="F88" s="19"/>
      <c r="G88" s="19">
        <v>1200</v>
      </c>
      <c r="H88" s="19">
        <v>1200</v>
      </c>
      <c r="I88" s="19">
        <v>1300</v>
      </c>
      <c r="J88" s="19">
        <v>1300</v>
      </c>
      <c r="K88" s="20"/>
      <c r="L88" s="19" t="s">
        <v>41</v>
      </c>
      <c r="M88" s="21"/>
    </row>
    <row r="89" spans="2:13" ht="14.25" customHeight="1" x14ac:dyDescent="0.3">
      <c r="B89" s="22"/>
      <c r="D89" s="18" t="s">
        <v>43</v>
      </c>
      <c r="E89" s="19"/>
      <c r="F89" s="19"/>
      <c r="G89" s="19">
        <v>1610</v>
      </c>
      <c r="H89" s="19">
        <v>1610</v>
      </c>
      <c r="I89" s="19">
        <v>2990</v>
      </c>
      <c r="J89" s="19">
        <v>2990</v>
      </c>
      <c r="K89" s="20" t="s">
        <v>144</v>
      </c>
      <c r="L89" s="19" t="s">
        <v>41</v>
      </c>
      <c r="M89" s="21"/>
    </row>
    <row r="90" spans="2:13" ht="14.25" customHeight="1" x14ac:dyDescent="0.3">
      <c r="B90" s="22"/>
      <c r="D90" s="18" t="s">
        <v>93</v>
      </c>
      <c r="E90" s="19"/>
      <c r="F90" s="19"/>
      <c r="G90" s="19">
        <v>1288</v>
      </c>
      <c r="H90" s="19">
        <v>1288</v>
      </c>
      <c r="I90" s="19">
        <v>2668</v>
      </c>
      <c r="J90" s="19">
        <v>2668</v>
      </c>
      <c r="K90" s="20" t="s">
        <v>144</v>
      </c>
      <c r="L90" s="19" t="s">
        <v>41</v>
      </c>
      <c r="M90" s="21"/>
    </row>
    <row r="91" spans="2:13" ht="14.25" customHeight="1" x14ac:dyDescent="0.3">
      <c r="B91" s="22"/>
      <c r="D91" s="18" t="s">
        <v>94</v>
      </c>
      <c r="E91" s="19"/>
      <c r="F91" s="19"/>
      <c r="G91" s="19">
        <v>2415</v>
      </c>
      <c r="H91" s="19">
        <v>2415</v>
      </c>
      <c r="I91" s="19">
        <v>3795</v>
      </c>
      <c r="J91" s="19">
        <v>3795</v>
      </c>
      <c r="K91" s="20" t="s">
        <v>144</v>
      </c>
      <c r="L91" s="19" t="s">
        <v>41</v>
      </c>
      <c r="M91" s="21"/>
    </row>
    <row r="92" spans="2:13" ht="14.25" customHeight="1" x14ac:dyDescent="0.3">
      <c r="B92" s="22"/>
      <c r="D92" s="18" t="s">
        <v>95</v>
      </c>
      <c r="E92" s="19"/>
      <c r="F92" s="19"/>
      <c r="G92" s="19">
        <v>2185</v>
      </c>
      <c r="H92" s="19">
        <v>2185</v>
      </c>
      <c r="I92" s="19">
        <v>3565</v>
      </c>
      <c r="J92" s="19">
        <v>3565</v>
      </c>
      <c r="K92" s="20" t="s">
        <v>144</v>
      </c>
      <c r="L92" s="19" t="s">
        <v>41</v>
      </c>
      <c r="M92" s="21"/>
    </row>
    <row r="93" spans="2:13" ht="14.25" customHeight="1" x14ac:dyDescent="0.3">
      <c r="B93" s="19"/>
      <c r="D93" s="18" t="s">
        <v>107</v>
      </c>
      <c r="E93" s="19"/>
      <c r="F93" s="19"/>
      <c r="G93" s="19">
        <v>1050</v>
      </c>
      <c r="H93" s="19">
        <v>1050</v>
      </c>
      <c r="I93" s="19">
        <v>3250</v>
      </c>
      <c r="J93" s="19">
        <v>3250</v>
      </c>
      <c r="K93" s="20" t="s">
        <v>144</v>
      </c>
      <c r="L93" s="19" t="s">
        <v>41</v>
      </c>
      <c r="M93" s="21"/>
    </row>
    <row r="94" spans="2:13" ht="14.25" customHeight="1" x14ac:dyDescent="0.3">
      <c r="B94" s="19"/>
      <c r="D94" s="18" t="s">
        <v>108</v>
      </c>
      <c r="E94" s="19"/>
      <c r="F94" s="19"/>
      <c r="G94" s="19">
        <v>800</v>
      </c>
      <c r="H94" s="19">
        <v>800</v>
      </c>
      <c r="I94" s="19">
        <v>2100</v>
      </c>
      <c r="J94" s="19">
        <v>2100</v>
      </c>
      <c r="K94" s="20" t="s">
        <v>144</v>
      </c>
      <c r="L94" s="19" t="s">
        <v>41</v>
      </c>
      <c r="M94" s="21"/>
    </row>
    <row r="95" spans="2:13" ht="14.25" customHeight="1" x14ac:dyDescent="0.3">
      <c r="B95" s="19"/>
      <c r="D95" s="18" t="s">
        <v>118</v>
      </c>
      <c r="E95" s="19"/>
      <c r="F95" s="19"/>
      <c r="G95" s="19">
        <v>100</v>
      </c>
      <c r="H95" s="19">
        <v>100</v>
      </c>
      <c r="I95" s="19">
        <v>100</v>
      </c>
      <c r="J95" s="19">
        <v>100</v>
      </c>
      <c r="K95" s="20"/>
      <c r="L95" s="19" t="s">
        <v>41</v>
      </c>
      <c r="M95" s="21"/>
    </row>
    <row r="96" spans="2:13" ht="14.25" customHeight="1" x14ac:dyDescent="0.3">
      <c r="B96" s="19"/>
      <c r="D96" s="18" t="s">
        <v>44</v>
      </c>
      <c r="E96" s="19"/>
      <c r="F96" s="19"/>
      <c r="G96" s="19">
        <v>70</v>
      </c>
      <c r="H96" s="19">
        <v>70</v>
      </c>
      <c r="I96" s="19">
        <v>100</v>
      </c>
      <c r="J96" s="19">
        <v>100</v>
      </c>
      <c r="K96" s="20"/>
      <c r="L96" s="19" t="s">
        <v>41</v>
      </c>
      <c r="M96" s="21"/>
    </row>
    <row r="97" spans="2:13" ht="14.25" customHeight="1" x14ac:dyDescent="0.3">
      <c r="B97" s="19"/>
      <c r="D97" s="18" t="s">
        <v>119</v>
      </c>
      <c r="E97" s="19">
        <v>3</v>
      </c>
      <c r="F97" s="19">
        <v>3</v>
      </c>
      <c r="G97" s="19">
        <v>4500</v>
      </c>
      <c r="H97" s="19">
        <v>4500</v>
      </c>
      <c r="I97" s="19">
        <v>4500</v>
      </c>
      <c r="J97" s="19">
        <v>4500</v>
      </c>
      <c r="K97" s="20" t="s">
        <v>144</v>
      </c>
      <c r="L97" s="19" t="s">
        <v>41</v>
      </c>
      <c r="M97" s="24" t="s">
        <v>147</v>
      </c>
    </row>
    <row r="98" spans="2:13" ht="14.25" customHeight="1" x14ac:dyDescent="0.3">
      <c r="B98" s="101"/>
      <c r="D98" s="18" t="s">
        <v>120</v>
      </c>
      <c r="E98" s="19">
        <v>3</v>
      </c>
      <c r="F98" s="19">
        <v>3</v>
      </c>
      <c r="G98" s="19">
        <v>4500</v>
      </c>
      <c r="H98" s="19">
        <v>4500</v>
      </c>
      <c r="I98" s="19">
        <v>4500</v>
      </c>
      <c r="J98" s="19">
        <v>4500</v>
      </c>
      <c r="K98" s="20" t="s">
        <v>144</v>
      </c>
      <c r="L98" s="19" t="s">
        <v>41</v>
      </c>
      <c r="M98" s="24" t="s">
        <v>148</v>
      </c>
    </row>
    <row r="99" spans="2:13" ht="14.25" customHeight="1" x14ac:dyDescent="0.3">
      <c r="B99" s="19"/>
      <c r="D99" s="18" t="s">
        <v>121</v>
      </c>
      <c r="E99" s="19">
        <v>3</v>
      </c>
      <c r="F99" s="19">
        <v>3</v>
      </c>
      <c r="G99" s="19">
        <v>4500</v>
      </c>
      <c r="H99" s="19">
        <v>4500</v>
      </c>
      <c r="I99" s="19">
        <v>4500</v>
      </c>
      <c r="J99" s="19">
        <v>4500</v>
      </c>
      <c r="K99" s="20" t="s">
        <v>144</v>
      </c>
      <c r="L99" s="19" t="s">
        <v>41</v>
      </c>
      <c r="M99" s="24" t="s">
        <v>149</v>
      </c>
    </row>
    <row r="100" spans="2:13" ht="14.25" customHeight="1" x14ac:dyDescent="0.3">
      <c r="B100" s="19"/>
      <c r="D100" s="18" t="s">
        <v>122</v>
      </c>
      <c r="E100" s="19"/>
      <c r="F100" s="19"/>
      <c r="G100" s="19">
        <v>36000</v>
      </c>
      <c r="H100" s="19">
        <v>36000</v>
      </c>
      <c r="I100" s="19">
        <v>36000</v>
      </c>
      <c r="J100" s="19">
        <v>36000</v>
      </c>
      <c r="K100" s="20"/>
      <c r="L100" s="19" t="s">
        <v>41</v>
      </c>
      <c r="M100" s="24" t="s">
        <v>147</v>
      </c>
    </row>
    <row r="101" spans="2:13" ht="14.25" customHeight="1" x14ac:dyDescent="0.3">
      <c r="B101" s="19"/>
      <c r="D101" s="18" t="s">
        <v>123</v>
      </c>
      <c r="E101" s="19"/>
      <c r="F101" s="19"/>
      <c r="G101" s="19">
        <v>27000</v>
      </c>
      <c r="H101" s="19">
        <v>27000</v>
      </c>
      <c r="I101" s="19">
        <v>27000</v>
      </c>
      <c r="J101" s="19">
        <v>27000</v>
      </c>
      <c r="K101" s="20"/>
      <c r="L101" s="19" t="s">
        <v>41</v>
      </c>
      <c r="M101" s="24" t="s">
        <v>148</v>
      </c>
    </row>
    <row r="102" spans="2:13" ht="14.25" customHeight="1" x14ac:dyDescent="0.3">
      <c r="B102" s="19"/>
      <c r="D102" s="18" t="s">
        <v>124</v>
      </c>
      <c r="E102" s="19"/>
      <c r="F102" s="19"/>
      <c r="G102" s="19">
        <v>18000</v>
      </c>
      <c r="H102" s="19">
        <v>18000</v>
      </c>
      <c r="I102" s="19">
        <v>18000</v>
      </c>
      <c r="J102" s="19">
        <v>18000</v>
      </c>
      <c r="K102" s="20"/>
      <c r="L102" s="19" t="s">
        <v>41</v>
      </c>
      <c r="M102" s="24" t="s">
        <v>149</v>
      </c>
    </row>
    <row r="103" spans="2:13" ht="14.25" customHeight="1" x14ac:dyDescent="0.3">
      <c r="B103" s="19"/>
      <c r="D103" s="18" t="s">
        <v>125</v>
      </c>
      <c r="E103" s="19">
        <v>3</v>
      </c>
      <c r="F103" s="19">
        <v>3</v>
      </c>
      <c r="G103" s="19">
        <v>5</v>
      </c>
      <c r="H103" s="19">
        <v>5</v>
      </c>
      <c r="I103" s="19">
        <v>5</v>
      </c>
      <c r="J103" s="19">
        <v>5</v>
      </c>
      <c r="K103" s="20"/>
      <c r="L103" s="19" t="s">
        <v>41</v>
      </c>
      <c r="M103" s="24" t="s">
        <v>147</v>
      </c>
    </row>
    <row r="104" spans="2:13" ht="14.25" customHeight="1" x14ac:dyDescent="0.3">
      <c r="B104" s="19"/>
      <c r="D104" s="18" t="s">
        <v>126</v>
      </c>
      <c r="E104" s="19">
        <v>3</v>
      </c>
      <c r="F104" s="19">
        <v>3</v>
      </c>
      <c r="G104" s="19">
        <v>5</v>
      </c>
      <c r="H104" s="19">
        <v>5</v>
      </c>
      <c r="I104" s="19">
        <v>5</v>
      </c>
      <c r="J104" s="19">
        <v>5</v>
      </c>
      <c r="K104" s="20"/>
      <c r="L104" s="19" t="s">
        <v>41</v>
      </c>
      <c r="M104" s="24" t="s">
        <v>148</v>
      </c>
    </row>
    <row r="105" spans="2:13" ht="14.25" customHeight="1" x14ac:dyDescent="0.3">
      <c r="B105" s="19"/>
      <c r="D105" s="18" t="s">
        <v>127</v>
      </c>
      <c r="E105" s="19">
        <v>3</v>
      </c>
      <c r="F105" s="19">
        <v>3</v>
      </c>
      <c r="G105" s="19">
        <v>5</v>
      </c>
      <c r="H105" s="19">
        <v>5</v>
      </c>
      <c r="I105" s="19">
        <v>5</v>
      </c>
      <c r="J105" s="19">
        <v>5</v>
      </c>
      <c r="K105" s="20"/>
      <c r="L105" s="19" t="s">
        <v>41</v>
      </c>
      <c r="M105" s="24" t="s">
        <v>149</v>
      </c>
    </row>
    <row r="106" spans="2:13" ht="14.25" customHeight="1" x14ac:dyDescent="0.3">
      <c r="B106" s="19"/>
      <c r="D106" s="18" t="s">
        <v>128</v>
      </c>
      <c r="E106" s="19"/>
      <c r="F106" s="19"/>
      <c r="G106" s="19">
        <v>30</v>
      </c>
      <c r="H106" s="19">
        <v>30</v>
      </c>
      <c r="I106" s="22"/>
      <c r="J106" s="22"/>
      <c r="K106" s="22"/>
      <c r="L106" s="19" t="s">
        <v>41</v>
      </c>
      <c r="M106" s="24" t="s">
        <v>147</v>
      </c>
    </row>
    <row r="107" spans="2:13" ht="14.25" customHeight="1" x14ac:dyDescent="0.3">
      <c r="B107" s="19"/>
      <c r="D107" s="18" t="s">
        <v>129</v>
      </c>
      <c r="E107" s="19"/>
      <c r="F107" s="19"/>
      <c r="G107" s="19">
        <v>30</v>
      </c>
      <c r="H107" s="19">
        <v>30</v>
      </c>
      <c r="I107" s="22"/>
      <c r="J107" s="22"/>
      <c r="K107" s="22"/>
      <c r="L107" s="19" t="s">
        <v>41</v>
      </c>
      <c r="M107" s="24" t="s">
        <v>148</v>
      </c>
    </row>
    <row r="108" spans="2:13" ht="14.25" customHeight="1" x14ac:dyDescent="0.3">
      <c r="B108" s="19"/>
      <c r="D108" s="18" t="s">
        <v>130</v>
      </c>
      <c r="E108" s="19"/>
      <c r="F108" s="19"/>
      <c r="G108" s="19">
        <v>30</v>
      </c>
      <c r="H108" s="19">
        <v>30</v>
      </c>
      <c r="I108" s="22"/>
      <c r="J108" s="22"/>
      <c r="K108" s="22"/>
      <c r="L108" s="19" t="s">
        <v>41</v>
      </c>
      <c r="M108" s="24" t="s">
        <v>149</v>
      </c>
    </row>
    <row r="109" spans="2:13" ht="14.25" customHeight="1" x14ac:dyDescent="0.3">
      <c r="B109" s="19"/>
      <c r="D109" s="18" t="s">
        <v>131</v>
      </c>
      <c r="E109" s="19"/>
      <c r="F109" s="19"/>
      <c r="G109" s="19">
        <v>2500</v>
      </c>
      <c r="H109" s="19">
        <v>2500</v>
      </c>
      <c r="I109" s="19">
        <v>7500</v>
      </c>
      <c r="J109" s="19">
        <v>7500</v>
      </c>
      <c r="K109" s="20" t="s">
        <v>144</v>
      </c>
      <c r="L109" s="19" t="s">
        <v>41</v>
      </c>
      <c r="M109" s="21"/>
    </row>
    <row r="110" spans="2:13" ht="14.25" customHeight="1" x14ac:dyDescent="0.3">
      <c r="B110" s="19"/>
      <c r="D110" s="18" t="s">
        <v>132</v>
      </c>
      <c r="E110" s="19"/>
      <c r="F110" s="19"/>
      <c r="G110" s="19">
        <v>1000</v>
      </c>
      <c r="H110" s="19">
        <v>1000</v>
      </c>
      <c r="I110" s="19">
        <v>3200</v>
      </c>
      <c r="J110" s="19">
        <v>3200</v>
      </c>
      <c r="K110" s="20" t="s">
        <v>144</v>
      </c>
      <c r="L110" s="19" t="s">
        <v>41</v>
      </c>
      <c r="M110" s="21"/>
    </row>
    <row r="111" spans="2:13" ht="14.25" customHeight="1" x14ac:dyDescent="0.3">
      <c r="B111" s="37"/>
      <c r="D111" s="25" t="s">
        <v>133</v>
      </c>
      <c r="E111" s="26"/>
      <c r="F111" s="26"/>
      <c r="G111" s="26">
        <v>3750</v>
      </c>
      <c r="H111" s="26">
        <v>3750</v>
      </c>
      <c r="I111" s="26">
        <v>11250</v>
      </c>
      <c r="J111" s="26">
        <v>11250</v>
      </c>
      <c r="K111" s="27" t="s">
        <v>144</v>
      </c>
      <c r="L111" s="26" t="s">
        <v>41</v>
      </c>
      <c r="M111" s="28"/>
    </row>
    <row r="112" spans="2:13" ht="14.25" customHeight="1" x14ac:dyDescent="0.3">
      <c r="B112" s="19"/>
    </row>
    <row r="113" spans="2:2" ht="14.25" customHeight="1" x14ac:dyDescent="0.3">
      <c r="B113" s="19"/>
    </row>
    <row r="114" spans="2:2" ht="14.25" customHeight="1" x14ac:dyDescent="0.3">
      <c r="B114" s="19"/>
    </row>
    <row r="115" spans="2:2" ht="14.25" customHeight="1" x14ac:dyDescent="0.3">
      <c r="B115" s="101"/>
    </row>
    <row r="116" spans="2:2" ht="14.25" customHeight="1" x14ac:dyDescent="0.3">
      <c r="B116" s="19"/>
    </row>
    <row r="117" spans="2:2" ht="14.25" customHeight="1" x14ac:dyDescent="0.3">
      <c r="B117" s="37"/>
    </row>
    <row r="118" spans="2:2" ht="14.25" customHeight="1" x14ac:dyDescent="0.3">
      <c r="B118" s="19"/>
    </row>
    <row r="119" spans="2:2" ht="14.25" customHeight="1" x14ac:dyDescent="0.3">
      <c r="B119" s="37"/>
    </row>
    <row r="120" spans="2:2" ht="14.25" customHeight="1" x14ac:dyDescent="0.3">
      <c r="B120" s="37"/>
    </row>
    <row r="121" spans="2:2" ht="14.25" customHeight="1" x14ac:dyDescent="0.3">
      <c r="B121" s="37"/>
    </row>
    <row r="122" spans="2:2" ht="14.25" customHeight="1" x14ac:dyDescent="0.3">
      <c r="B122" s="19"/>
    </row>
    <row r="123" spans="2:2" ht="14.25" customHeight="1" x14ac:dyDescent="0.3">
      <c r="B123" s="37"/>
    </row>
    <row r="124" spans="2:2" ht="14.25" customHeight="1" x14ac:dyDescent="0.3">
      <c r="B124" s="37"/>
    </row>
    <row r="125" spans="2:2" ht="14.25" customHeight="1" x14ac:dyDescent="0.3">
      <c r="B125" s="19"/>
    </row>
    <row r="126" spans="2:2" ht="14.25" customHeight="1" x14ac:dyDescent="0.3">
      <c r="B126" s="19"/>
    </row>
    <row r="127" spans="2:2" ht="14.25" customHeight="1" x14ac:dyDescent="0.3">
      <c r="B127" s="19"/>
    </row>
    <row r="128" spans="2:2" ht="14.25" customHeight="1" x14ac:dyDescent="0.3">
      <c r="B128" s="19"/>
    </row>
    <row r="129" spans="2:2" ht="14.25" customHeight="1" x14ac:dyDescent="0.3">
      <c r="B129" s="19"/>
    </row>
    <row r="130" spans="2:2" ht="14.25" customHeight="1" x14ac:dyDescent="0.3">
      <c r="B130" s="37"/>
    </row>
    <row r="131" spans="2:2" ht="14.25" customHeight="1" x14ac:dyDescent="0.3">
      <c r="B131" s="37"/>
    </row>
    <row r="132" spans="2:2" ht="14.25" customHeight="1" x14ac:dyDescent="0.3">
      <c r="B132" s="19"/>
    </row>
    <row r="133" spans="2:2" ht="14.25" customHeight="1" x14ac:dyDescent="0.3">
      <c r="B133" s="19"/>
    </row>
    <row r="134" spans="2:2" ht="14.25" customHeight="1" x14ac:dyDescent="0.3">
      <c r="B134" s="19"/>
    </row>
    <row r="135" spans="2:2" ht="14.25" customHeight="1" x14ac:dyDescent="0.3">
      <c r="B135" s="19"/>
    </row>
    <row r="136" spans="2:2" ht="14.25" customHeight="1" x14ac:dyDescent="0.3">
      <c r="B136" s="19"/>
    </row>
    <row r="137" spans="2:2" ht="14.25" customHeight="1" x14ac:dyDescent="0.3">
      <c r="B137" s="19"/>
    </row>
    <row r="138" spans="2:2" ht="14.25" customHeight="1" x14ac:dyDescent="0.3">
      <c r="B138" s="19"/>
    </row>
    <row r="139" spans="2:2" ht="14.25" customHeight="1" x14ac:dyDescent="0.3">
      <c r="B139" s="19"/>
    </row>
    <row r="140" spans="2:2" ht="14.25" customHeight="1" x14ac:dyDescent="0.3">
      <c r="B140" s="19"/>
    </row>
    <row r="141" spans="2:2" ht="14.25" customHeight="1" x14ac:dyDescent="0.3">
      <c r="B141" s="19"/>
    </row>
    <row r="142" spans="2:2" ht="14.25" customHeight="1" x14ac:dyDescent="0.3">
      <c r="B142" s="19"/>
    </row>
    <row r="143" spans="2:2" ht="14.25" customHeight="1" x14ac:dyDescent="0.3">
      <c r="B143" s="19"/>
    </row>
    <row r="144" spans="2:2" ht="14.25" customHeight="1" x14ac:dyDescent="0.3">
      <c r="B144" s="19"/>
    </row>
    <row r="145" spans="2:2" ht="14.25" customHeight="1" x14ac:dyDescent="0.3">
      <c r="B145" s="19"/>
    </row>
    <row r="146" spans="2:2" ht="14.25" customHeight="1" x14ac:dyDescent="0.3">
      <c r="B146" s="19"/>
    </row>
    <row r="147" spans="2:2" ht="14.25" customHeight="1" x14ac:dyDescent="0.3">
      <c r="B147" s="19"/>
    </row>
    <row r="148" spans="2:2" ht="14.25" customHeight="1" x14ac:dyDescent="0.3">
      <c r="B148" s="19"/>
    </row>
    <row r="149" spans="2:2" ht="14.25" customHeight="1" x14ac:dyDescent="0.3">
      <c r="B149" s="19"/>
    </row>
    <row r="150" spans="2:2" ht="14.25" customHeight="1" x14ac:dyDescent="0.3">
      <c r="B150" s="19"/>
    </row>
    <row r="151" spans="2:2" ht="14.25" customHeight="1" x14ac:dyDescent="0.3">
      <c r="B151" s="19"/>
    </row>
    <row r="152" spans="2:2" ht="14.25" customHeight="1" x14ac:dyDescent="0.3">
      <c r="B152" s="19"/>
    </row>
    <row r="153" spans="2:2" ht="14.25" customHeight="1" x14ac:dyDescent="0.3">
      <c r="B153" s="19"/>
    </row>
    <row r="154" spans="2:2" ht="14.25" customHeight="1" x14ac:dyDescent="0.3">
      <c r="B154" s="101"/>
    </row>
    <row r="155" spans="2:2" ht="14.25" customHeight="1" x14ac:dyDescent="0.3">
      <c r="B155" s="19"/>
    </row>
    <row r="156" spans="2:2" ht="14.25" customHeight="1" x14ac:dyDescent="0.3">
      <c r="B156" s="19"/>
    </row>
    <row r="157" spans="2:2" ht="14.25" customHeight="1" x14ac:dyDescent="0.3">
      <c r="B157" s="19"/>
    </row>
    <row r="158" spans="2:2" ht="14.25" customHeight="1" x14ac:dyDescent="0.3">
      <c r="B158" s="19"/>
    </row>
    <row r="159" spans="2:2" ht="14.25" customHeight="1" x14ac:dyDescent="0.3">
      <c r="B159" s="19"/>
    </row>
    <row r="160" spans="2:2" ht="14.25" customHeight="1" x14ac:dyDescent="0.3">
      <c r="B160" s="19"/>
    </row>
    <row r="161" spans="2:2" ht="14.25" customHeight="1" x14ac:dyDescent="0.3">
      <c r="B161" s="19"/>
    </row>
    <row r="162" spans="2:2" ht="14.25" customHeight="1" x14ac:dyDescent="0.3">
      <c r="B162" s="19"/>
    </row>
    <row r="163" spans="2:2" ht="14.25" customHeight="1" x14ac:dyDescent="0.3">
      <c r="B163" s="19"/>
    </row>
    <row r="164" spans="2:2" ht="14.25" customHeight="1" x14ac:dyDescent="0.3">
      <c r="B164" s="19"/>
    </row>
    <row r="165" spans="2:2" ht="14.25" customHeight="1" x14ac:dyDescent="0.3">
      <c r="B165" s="19"/>
    </row>
    <row r="166" spans="2:2" ht="14.25" customHeight="1" x14ac:dyDescent="0.3">
      <c r="B166" s="19"/>
    </row>
    <row r="167" spans="2:2" ht="14.25" customHeight="1" x14ac:dyDescent="0.3">
      <c r="B167" s="19"/>
    </row>
    <row r="168" spans="2:2" ht="14.25" customHeight="1" x14ac:dyDescent="0.3">
      <c r="B168" s="19"/>
    </row>
    <row r="169" spans="2:2" ht="14.25" customHeight="1" x14ac:dyDescent="0.3">
      <c r="B169" s="19"/>
    </row>
    <row r="170" spans="2:2" ht="14.25" customHeight="1" x14ac:dyDescent="0.3">
      <c r="B170" s="19"/>
    </row>
    <row r="171" spans="2:2" ht="14.25" customHeight="1" x14ac:dyDescent="0.3">
      <c r="B171" s="19"/>
    </row>
    <row r="172" spans="2:2" ht="14.25" customHeight="1" x14ac:dyDescent="0.3">
      <c r="B172" s="19"/>
    </row>
    <row r="173" spans="2:2" ht="14.25" customHeight="1" x14ac:dyDescent="0.3">
      <c r="B173" s="101"/>
    </row>
    <row r="174" spans="2:2" ht="14.25" customHeight="1" x14ac:dyDescent="0.3">
      <c r="B174" s="19"/>
    </row>
    <row r="175" spans="2:2" ht="14.25" customHeight="1" x14ac:dyDescent="0.3">
      <c r="B175" s="19"/>
    </row>
    <row r="176" spans="2:2" ht="14.25" customHeight="1" x14ac:dyDescent="0.3">
      <c r="B176" s="19"/>
    </row>
    <row r="177" spans="2:2" ht="14.25" customHeight="1" x14ac:dyDescent="0.3">
      <c r="B177" s="19"/>
    </row>
    <row r="178" spans="2:2" ht="14.25" customHeight="1" x14ac:dyDescent="0.3">
      <c r="B178" s="19"/>
    </row>
    <row r="179" spans="2:2" ht="14.25" customHeight="1" x14ac:dyDescent="0.3">
      <c r="B179" s="19"/>
    </row>
    <row r="180" spans="2:2" ht="14.25" customHeight="1" x14ac:dyDescent="0.3">
      <c r="B180" s="19"/>
    </row>
    <row r="181" spans="2:2" ht="14.25" customHeight="1" x14ac:dyDescent="0.3">
      <c r="B181" s="19"/>
    </row>
    <row r="182" spans="2:2" ht="14.25" customHeight="1" x14ac:dyDescent="0.3">
      <c r="B182" s="19"/>
    </row>
    <row r="183" spans="2:2" ht="14.25" customHeight="1" x14ac:dyDescent="0.3">
      <c r="B183" s="19"/>
    </row>
    <row r="184" spans="2:2" ht="14.25" customHeight="1" x14ac:dyDescent="0.3">
      <c r="B184" s="19"/>
    </row>
    <row r="185" spans="2:2" ht="14.25" customHeight="1" x14ac:dyDescent="0.3">
      <c r="B185" s="19"/>
    </row>
    <row r="186" spans="2:2" ht="14.25" customHeight="1" x14ac:dyDescent="0.3">
      <c r="B186" s="19"/>
    </row>
    <row r="187" spans="2:2" ht="14.25" customHeight="1" x14ac:dyDescent="0.3">
      <c r="B187" s="19"/>
    </row>
    <row r="188" spans="2:2" ht="14.25" customHeight="1" x14ac:dyDescent="0.3">
      <c r="B188" s="19"/>
    </row>
    <row r="189" spans="2:2" ht="14.25" customHeight="1" x14ac:dyDescent="0.3">
      <c r="B189" s="19"/>
    </row>
    <row r="190" spans="2:2" ht="14.25" customHeight="1" x14ac:dyDescent="0.3">
      <c r="B190" s="19"/>
    </row>
    <row r="191" spans="2:2" ht="14.25" customHeight="1" x14ac:dyDescent="0.3">
      <c r="B191" s="19"/>
    </row>
    <row r="192" spans="2:2" ht="14.25" customHeight="1" x14ac:dyDescent="0.3">
      <c r="B192" s="19"/>
    </row>
    <row r="193" spans="2:2" ht="14.25" customHeight="1" x14ac:dyDescent="0.3">
      <c r="B193" s="19"/>
    </row>
    <row r="194" spans="2:2" ht="14.25" customHeight="1" x14ac:dyDescent="0.3">
      <c r="B194" s="19"/>
    </row>
    <row r="195" spans="2:2" ht="14.25" customHeight="1" x14ac:dyDescent="0.3">
      <c r="B195" s="19"/>
    </row>
    <row r="196" spans="2:2" ht="14.25" customHeight="1" x14ac:dyDescent="0.3">
      <c r="B196" s="19"/>
    </row>
    <row r="197" spans="2:2" ht="14.25" customHeight="1" x14ac:dyDescent="0.3">
      <c r="B197" s="19"/>
    </row>
    <row r="198" spans="2:2" ht="14.25" customHeight="1" x14ac:dyDescent="0.3">
      <c r="B198" s="19"/>
    </row>
    <row r="199" spans="2:2" ht="14.25" customHeight="1" x14ac:dyDescent="0.3">
      <c r="B199" s="19"/>
    </row>
    <row r="200" spans="2:2" ht="14.25" customHeight="1" x14ac:dyDescent="0.3">
      <c r="B200" s="19"/>
    </row>
    <row r="201" spans="2:2" ht="14.25" customHeight="1" x14ac:dyDescent="0.3">
      <c r="B201" s="19"/>
    </row>
    <row r="202" spans="2:2" ht="14.25" customHeight="1" x14ac:dyDescent="0.3">
      <c r="B202" s="19"/>
    </row>
    <row r="203" spans="2:2" ht="14.25" customHeight="1" x14ac:dyDescent="0.3">
      <c r="B203" s="19"/>
    </row>
    <row r="204" spans="2:2" ht="14.25" customHeight="1" x14ac:dyDescent="0.3">
      <c r="B204" s="19"/>
    </row>
    <row r="205" spans="2:2" ht="14.25" customHeight="1" x14ac:dyDescent="0.3">
      <c r="B205" s="19"/>
    </row>
    <row r="206" spans="2:2" ht="14.25" customHeight="1" x14ac:dyDescent="0.3">
      <c r="B206" s="19"/>
    </row>
    <row r="207" spans="2:2" ht="14.25" customHeight="1" x14ac:dyDescent="0.3">
      <c r="B207" s="19"/>
    </row>
    <row r="208" spans="2:2" ht="14.25" customHeight="1" x14ac:dyDescent="0.3">
      <c r="B208" s="19"/>
    </row>
    <row r="209" spans="2:2" ht="14.25" customHeight="1" x14ac:dyDescent="0.3">
      <c r="B209" s="19"/>
    </row>
    <row r="210" spans="2:2" ht="14.25" customHeight="1" x14ac:dyDescent="0.3">
      <c r="B210" s="22"/>
    </row>
    <row r="211" spans="2:2" ht="14.25" customHeight="1" x14ac:dyDescent="0.3">
      <c r="B211" s="22"/>
    </row>
    <row r="212" spans="2:2" ht="14.25" customHeight="1" x14ac:dyDescent="0.3"/>
    <row r="213" spans="2:2" ht="14.25" customHeight="1" x14ac:dyDescent="0.3"/>
    <row r="214" spans="2:2" ht="14.25" customHeight="1" x14ac:dyDescent="0.3"/>
    <row r="215" spans="2:2" ht="14.25" customHeight="1" x14ac:dyDescent="0.3"/>
    <row r="216" spans="2:2" ht="14.25" customHeight="1" x14ac:dyDescent="0.3"/>
    <row r="217" spans="2:2" ht="14.25" customHeight="1" x14ac:dyDescent="0.3"/>
    <row r="218" spans="2:2" ht="14.25" customHeight="1" x14ac:dyDescent="0.3"/>
    <row r="219" spans="2:2" ht="14.25" customHeight="1" x14ac:dyDescent="0.3"/>
    <row r="220" spans="2:2" ht="14.25" customHeight="1" x14ac:dyDescent="0.3"/>
    <row r="221" spans="2:2" ht="14.25" customHeight="1" x14ac:dyDescent="0.3"/>
    <row r="222" spans="2:2" ht="14.25" customHeight="1" x14ac:dyDescent="0.3"/>
    <row r="223" spans="2:2" ht="14.25" customHeight="1" x14ac:dyDescent="0.3"/>
    <row r="224" spans="2:2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</sheetData>
  <sortState xmlns:xlrd2="http://schemas.microsoft.com/office/spreadsheetml/2017/richdata2" ref="B93:B209">
    <sortCondition ref="B93:B209"/>
  </sortState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D3FFA-8F43-459E-8DD5-809E4668D5B7}">
  <sheetPr codeName="Sheet25"/>
  <dimension ref="A1:AY113"/>
  <sheetViews>
    <sheetView zoomScale="80" zoomScaleNormal="80" workbookViewId="0"/>
  </sheetViews>
  <sheetFormatPr defaultRowHeight="14.4" x14ac:dyDescent="0.3"/>
  <cols>
    <col min="2" max="2" width="28.88671875" bestFit="1" customWidth="1"/>
    <col min="4" max="4" width="6.88671875" bestFit="1" customWidth="1"/>
    <col min="5" max="5" width="10.6640625" bestFit="1" customWidth="1"/>
    <col min="6" max="9" width="10.6640625" customWidth="1"/>
    <col min="11" max="11" width="6.33203125" bestFit="1" customWidth="1"/>
    <col min="12" max="12" width="10.6640625" bestFit="1" customWidth="1"/>
    <col min="13" max="16" width="10.6640625" customWidth="1"/>
    <col min="18" max="18" width="8.21875" bestFit="1" customWidth="1"/>
    <col min="19" max="19" width="10.6640625" bestFit="1" customWidth="1"/>
    <col min="20" max="23" width="10.6640625" customWidth="1"/>
    <col min="25" max="25" width="5.5546875" bestFit="1" customWidth="1"/>
    <col min="26" max="26" width="10.6640625" bestFit="1" customWidth="1"/>
    <col min="27" max="30" width="10.6640625" customWidth="1"/>
    <col min="32" max="32" width="14.6640625" customWidth="1"/>
    <col min="33" max="33" width="10.6640625" bestFit="1" customWidth="1"/>
    <col min="34" max="37" width="10.6640625" customWidth="1"/>
    <col min="38" max="38" width="8.88671875" customWidth="1"/>
    <col min="39" max="39" width="16" bestFit="1" customWidth="1"/>
    <col min="40" max="40" width="10.6640625" bestFit="1" customWidth="1"/>
    <col min="41" max="44" width="10.6640625" customWidth="1"/>
    <col min="47" max="47" width="10.6640625" bestFit="1" customWidth="1"/>
    <col min="50" max="50" width="10.6640625" bestFit="1" customWidth="1"/>
  </cols>
  <sheetData>
    <row r="1" spans="1:50" x14ac:dyDescent="0.3">
      <c r="D1" s="322" t="s">
        <v>159</v>
      </c>
      <c r="E1" s="323"/>
      <c r="F1" s="323"/>
      <c r="G1" s="323"/>
      <c r="H1" s="323"/>
      <c r="I1" s="324"/>
      <c r="K1" s="322" t="s">
        <v>160</v>
      </c>
      <c r="L1" s="323"/>
      <c r="M1" s="323"/>
      <c r="N1" s="323"/>
      <c r="O1" s="323"/>
      <c r="P1" s="324"/>
      <c r="R1" s="325" t="s">
        <v>161</v>
      </c>
      <c r="S1" s="326"/>
      <c r="T1" s="326"/>
      <c r="U1" s="225" t="s">
        <v>289</v>
      </c>
      <c r="V1" s="225"/>
      <c r="W1" s="226"/>
      <c r="Y1" s="322" t="s">
        <v>162</v>
      </c>
      <c r="Z1" s="323"/>
      <c r="AA1" s="323"/>
      <c r="AB1" s="323"/>
      <c r="AC1" s="323"/>
      <c r="AD1" s="324"/>
      <c r="AF1" s="325" t="s">
        <v>163</v>
      </c>
      <c r="AG1" s="326"/>
      <c r="AH1" s="326"/>
      <c r="AI1" s="225" t="s">
        <v>274</v>
      </c>
      <c r="AJ1" s="225"/>
      <c r="AK1" s="226"/>
      <c r="AL1" s="132"/>
      <c r="AM1" s="325" t="s">
        <v>164</v>
      </c>
      <c r="AN1" s="326"/>
      <c r="AO1" s="326"/>
      <c r="AP1" s="227" t="s">
        <v>275</v>
      </c>
      <c r="AQ1" s="225"/>
      <c r="AR1" s="226"/>
    </row>
    <row r="2" spans="1:50" x14ac:dyDescent="0.3">
      <c r="B2" s="135" t="s">
        <v>222</v>
      </c>
      <c r="D2" s="150" t="s">
        <v>264</v>
      </c>
      <c r="E2" s="152"/>
      <c r="F2" s="249" t="s">
        <v>282</v>
      </c>
      <c r="G2" s="152"/>
      <c r="H2" s="150" t="s">
        <v>265</v>
      </c>
      <c r="I2" s="152"/>
      <c r="K2" s="150" t="s">
        <v>264</v>
      </c>
      <c r="L2" s="152"/>
      <c r="M2" s="249" t="s">
        <v>282</v>
      </c>
      <c r="N2" s="152"/>
      <c r="O2" s="150" t="s">
        <v>265</v>
      </c>
      <c r="P2" s="152"/>
      <c r="R2" s="150" t="s">
        <v>264</v>
      </c>
      <c r="S2" s="152"/>
      <c r="T2" s="249" t="s">
        <v>282</v>
      </c>
      <c r="U2" s="152"/>
      <c r="V2" s="150" t="s">
        <v>265</v>
      </c>
      <c r="W2" s="152"/>
      <c r="Y2" s="150" t="s">
        <v>264</v>
      </c>
      <c r="Z2" s="152"/>
      <c r="AA2" s="249" t="s">
        <v>282</v>
      </c>
      <c r="AB2" s="152"/>
      <c r="AC2" s="150" t="s">
        <v>265</v>
      </c>
      <c r="AD2" s="152"/>
      <c r="AF2" s="150" t="s">
        <v>264</v>
      </c>
      <c r="AG2" s="152"/>
      <c r="AH2" s="249" t="s">
        <v>282</v>
      </c>
      <c r="AI2" s="152"/>
      <c r="AJ2" s="150" t="s">
        <v>265</v>
      </c>
      <c r="AK2" s="152"/>
      <c r="AM2" s="150" t="s">
        <v>264</v>
      </c>
      <c r="AN2" s="152"/>
      <c r="AO2" s="249" t="s">
        <v>282</v>
      </c>
      <c r="AP2" s="152"/>
      <c r="AQ2" s="150" t="s">
        <v>265</v>
      </c>
      <c r="AR2" s="152"/>
      <c r="AT2" s="320" t="s">
        <v>228</v>
      </c>
      <c r="AU2" s="321"/>
      <c r="AW2" s="320" t="s">
        <v>227</v>
      </c>
      <c r="AX2" s="321"/>
    </row>
    <row r="3" spans="1:50" x14ac:dyDescent="0.3">
      <c r="B3" s="43">
        <f>'User Interface'!C8</f>
        <v>0</v>
      </c>
      <c r="D3" s="140" t="s">
        <v>226</v>
      </c>
      <c r="E3" s="169" t="s">
        <v>245</v>
      </c>
      <c r="F3" s="140" t="s">
        <v>226</v>
      </c>
      <c r="G3" s="169" t="s">
        <v>245</v>
      </c>
      <c r="H3" s="140" t="s">
        <v>226</v>
      </c>
      <c r="I3" s="169" t="s">
        <v>245</v>
      </c>
      <c r="K3" s="140" t="s">
        <v>226</v>
      </c>
      <c r="L3" s="169" t="s">
        <v>245</v>
      </c>
      <c r="M3" s="140" t="s">
        <v>226</v>
      </c>
      <c r="N3" s="169" t="s">
        <v>245</v>
      </c>
      <c r="O3" s="140" t="s">
        <v>226</v>
      </c>
      <c r="P3" s="169" t="s">
        <v>245</v>
      </c>
      <c r="R3" s="140" t="s">
        <v>226</v>
      </c>
      <c r="S3" s="169" t="s">
        <v>245</v>
      </c>
      <c r="T3" s="140" t="s">
        <v>226</v>
      </c>
      <c r="U3" s="169" t="s">
        <v>245</v>
      </c>
      <c r="V3" s="140" t="s">
        <v>226</v>
      </c>
      <c r="W3" s="169" t="s">
        <v>245</v>
      </c>
      <c r="Y3" s="140" t="s">
        <v>226</v>
      </c>
      <c r="Z3" s="169" t="s">
        <v>245</v>
      </c>
      <c r="AA3" s="140" t="s">
        <v>226</v>
      </c>
      <c r="AB3" s="169" t="s">
        <v>245</v>
      </c>
      <c r="AC3" s="140" t="s">
        <v>226</v>
      </c>
      <c r="AD3" s="169" t="s">
        <v>245</v>
      </c>
      <c r="AF3" s="140" t="s">
        <v>226</v>
      </c>
      <c r="AG3" s="169" t="s">
        <v>245</v>
      </c>
      <c r="AH3" s="140" t="s">
        <v>226</v>
      </c>
      <c r="AI3" s="169" t="s">
        <v>245</v>
      </c>
      <c r="AJ3" s="140" t="s">
        <v>226</v>
      </c>
      <c r="AK3" s="169" t="s">
        <v>245</v>
      </c>
      <c r="AM3" s="140" t="s">
        <v>226</v>
      </c>
      <c r="AN3" s="169" t="s">
        <v>245</v>
      </c>
      <c r="AO3" s="140" t="s">
        <v>226</v>
      </c>
      <c r="AP3" s="169" t="s">
        <v>245</v>
      </c>
      <c r="AQ3" s="140" t="s">
        <v>226</v>
      </c>
      <c r="AR3" s="169" t="s">
        <v>245</v>
      </c>
      <c r="AT3" s="140" t="s">
        <v>226</v>
      </c>
      <c r="AU3" s="172" t="s">
        <v>245</v>
      </c>
      <c r="AW3" s="140" t="s">
        <v>226</v>
      </c>
      <c r="AX3" s="172" t="s">
        <v>245</v>
      </c>
    </row>
    <row r="4" spans="1:50" x14ac:dyDescent="0.3">
      <c r="D4" s="125">
        <v>1.0416666666666666E-2</v>
      </c>
      <c r="E4" s="166"/>
      <c r="F4" s="125">
        <v>1.0416666666666666E-2</v>
      </c>
      <c r="G4" s="166"/>
      <c r="H4" s="125">
        <v>1.0416666666666666E-2</v>
      </c>
      <c r="I4" s="166"/>
      <c r="K4" s="125">
        <v>1.0416666666666666E-2</v>
      </c>
      <c r="L4" s="166"/>
      <c r="M4" s="125">
        <v>1.0416666666666666E-2</v>
      </c>
      <c r="N4" s="166"/>
      <c r="O4" s="125">
        <v>1.0416666666666666E-2</v>
      </c>
      <c r="P4" s="166"/>
      <c r="R4" s="125">
        <v>1.0416666666666666E-2</v>
      </c>
      <c r="S4" s="166">
        <v>0.61277099999999995</v>
      </c>
      <c r="T4" s="125">
        <v>1.0416666666666666E-2</v>
      </c>
      <c r="U4" s="166">
        <v>0.82660999999999996</v>
      </c>
      <c r="V4" s="125">
        <v>1.0416666666666666E-2</v>
      </c>
      <c r="W4" s="166">
        <v>1.0259199999999999</v>
      </c>
      <c r="Y4" s="125">
        <v>1.0416666666666666E-2</v>
      </c>
      <c r="Z4" s="166"/>
      <c r="AA4" s="125">
        <v>1.0416666666666666E-2</v>
      </c>
      <c r="AB4" s="166"/>
      <c r="AC4" s="125">
        <v>1.0416666666666666E-2</v>
      </c>
      <c r="AD4" s="166"/>
      <c r="AF4" s="125">
        <v>1.0416666666666666E-2</v>
      </c>
      <c r="AG4" s="166">
        <v>1.2323</v>
      </c>
      <c r="AH4" s="125">
        <v>1.0416666666666666E-2</v>
      </c>
      <c r="AI4" s="208">
        <v>2.0046400000000002</v>
      </c>
      <c r="AJ4" s="125">
        <v>1.0416666666666666E-2</v>
      </c>
      <c r="AK4" s="166">
        <v>2.56874</v>
      </c>
      <c r="AL4" s="208"/>
      <c r="AM4" s="125">
        <v>1.0416666666666666E-2</v>
      </c>
      <c r="AN4" s="166">
        <v>0.90466999999999997</v>
      </c>
      <c r="AO4" s="125">
        <v>1.0416666666666666E-2</v>
      </c>
      <c r="AP4" s="214">
        <v>1.33962</v>
      </c>
      <c r="AQ4" s="125">
        <v>1.0416666666666666E-2</v>
      </c>
      <c r="AR4" s="166">
        <v>1.6899599999999999</v>
      </c>
      <c r="AS4" s="214"/>
      <c r="AT4" s="125">
        <v>1.0416666666666666E-2</v>
      </c>
      <c r="AU4" s="21"/>
      <c r="AW4" s="125">
        <v>1.0416666666666666E-2</v>
      </c>
      <c r="AX4" s="21"/>
    </row>
    <row r="5" spans="1:50" x14ac:dyDescent="0.3">
      <c r="B5" s="177" t="s">
        <v>263</v>
      </c>
      <c r="D5" s="125">
        <v>2.0833333333333332E-2</v>
      </c>
      <c r="E5" s="166"/>
      <c r="F5" s="125">
        <v>2.0833333333333332E-2</v>
      </c>
      <c r="G5" s="166"/>
      <c r="H5" s="125">
        <v>2.0833333333333332E-2</v>
      </c>
      <c r="I5" s="166"/>
      <c r="K5" s="125">
        <v>2.0833333333333332E-2</v>
      </c>
      <c r="L5" s="166"/>
      <c r="M5" s="125">
        <v>2.0833333333333332E-2</v>
      </c>
      <c r="N5" s="166"/>
      <c r="O5" s="125">
        <v>2.0833333333333332E-2</v>
      </c>
      <c r="P5" s="166"/>
      <c r="R5" s="125">
        <v>2.0833333333333332E-2</v>
      </c>
      <c r="S5" s="166">
        <v>0.61277099999999995</v>
      </c>
      <c r="T5" s="125">
        <v>2.0833333333333332E-2</v>
      </c>
      <c r="U5" s="166">
        <v>0.82660999999999996</v>
      </c>
      <c r="V5" s="125">
        <v>2.0833333333333332E-2</v>
      </c>
      <c r="W5" s="166">
        <v>1.0259199999999999</v>
      </c>
      <c r="Y5" s="125">
        <v>2.0833333333333332E-2</v>
      </c>
      <c r="Z5" s="166"/>
      <c r="AA5" s="125">
        <v>2.0833333333333332E-2</v>
      </c>
      <c r="AB5" s="166"/>
      <c r="AC5" s="125">
        <v>2.0833333333333332E-2</v>
      </c>
      <c r="AD5" s="166"/>
      <c r="AF5" s="125">
        <v>2.0833333333333332E-2</v>
      </c>
      <c r="AG5" s="166">
        <v>1.2323</v>
      </c>
      <c r="AH5" s="125">
        <v>2.0833333333333332E-2</v>
      </c>
      <c r="AI5" s="208">
        <v>2.0046400000000002</v>
      </c>
      <c r="AJ5" s="125">
        <v>2.0833333333333332E-2</v>
      </c>
      <c r="AK5" s="166">
        <v>2.56874</v>
      </c>
      <c r="AL5" s="208"/>
      <c r="AM5" s="125">
        <v>2.0833333333333332E-2</v>
      </c>
      <c r="AN5" s="166">
        <v>0.90466999999999997</v>
      </c>
      <c r="AO5" s="125">
        <v>2.0833333333333332E-2</v>
      </c>
      <c r="AP5" s="214">
        <v>1.33962</v>
      </c>
      <c r="AQ5" s="125">
        <v>2.0833333333333332E-2</v>
      </c>
      <c r="AR5" s="166">
        <v>1.6899599999999999</v>
      </c>
      <c r="AS5" s="214"/>
      <c r="AT5" s="125">
        <v>2.0833333333333332E-2</v>
      </c>
      <c r="AU5" s="21"/>
      <c r="AW5" s="125">
        <v>2.0833333333333332E-2</v>
      </c>
      <c r="AX5" s="21"/>
    </row>
    <row r="6" spans="1:50" x14ac:dyDescent="0.3">
      <c r="B6" s="43" t="b">
        <v>0</v>
      </c>
      <c r="D6" s="125">
        <v>3.125E-2</v>
      </c>
      <c r="E6" s="166"/>
      <c r="F6" s="125">
        <v>3.125E-2</v>
      </c>
      <c r="G6" s="166"/>
      <c r="H6" s="125">
        <v>3.125E-2</v>
      </c>
      <c r="I6" s="166"/>
      <c r="K6" s="125">
        <v>3.125E-2</v>
      </c>
      <c r="L6" s="166"/>
      <c r="M6" s="125">
        <v>3.125E-2</v>
      </c>
      <c r="N6" s="166"/>
      <c r="O6" s="125">
        <v>3.125E-2</v>
      </c>
      <c r="P6" s="166"/>
      <c r="R6" s="125">
        <v>3.125E-2</v>
      </c>
      <c r="S6" s="166">
        <v>0.61277099999999995</v>
      </c>
      <c r="T6" s="125">
        <v>3.125E-2</v>
      </c>
      <c r="U6" s="166">
        <v>0.82660999999999996</v>
      </c>
      <c r="V6" s="125">
        <v>3.125E-2</v>
      </c>
      <c r="W6" s="166">
        <v>1.0259199999999999</v>
      </c>
      <c r="Y6" s="125">
        <v>3.125E-2</v>
      </c>
      <c r="Z6" s="166"/>
      <c r="AA6" s="125">
        <v>3.125E-2</v>
      </c>
      <c r="AB6" s="166"/>
      <c r="AC6" s="125">
        <v>3.125E-2</v>
      </c>
      <c r="AD6" s="166"/>
      <c r="AF6" s="125">
        <v>3.125E-2</v>
      </c>
      <c r="AG6" s="166">
        <v>1.2323</v>
      </c>
      <c r="AH6" s="125">
        <v>3.125E-2</v>
      </c>
      <c r="AI6" s="208">
        <v>2.0046400000000002</v>
      </c>
      <c r="AJ6" s="125">
        <v>3.125E-2</v>
      </c>
      <c r="AK6" s="166">
        <v>2.56874</v>
      </c>
      <c r="AL6" s="208"/>
      <c r="AM6" s="125">
        <v>3.125E-2</v>
      </c>
      <c r="AN6" s="166">
        <v>0.90466999999999997</v>
      </c>
      <c r="AO6" s="125">
        <v>3.125E-2</v>
      </c>
      <c r="AP6" s="214">
        <v>1.33962</v>
      </c>
      <c r="AQ6" s="125">
        <v>3.125E-2</v>
      </c>
      <c r="AR6" s="166">
        <v>1.6899599999999999</v>
      </c>
      <c r="AS6" s="214"/>
      <c r="AT6" s="125">
        <v>3.125E-2</v>
      </c>
      <c r="AU6" s="21"/>
      <c r="AW6" s="125">
        <v>3.125E-2</v>
      </c>
      <c r="AX6" s="21"/>
    </row>
    <row r="7" spans="1:50" x14ac:dyDescent="0.3">
      <c r="D7" s="125">
        <v>4.1666666666666664E-2</v>
      </c>
      <c r="E7" s="166"/>
      <c r="F7" s="125">
        <v>4.1666666666666664E-2</v>
      </c>
      <c r="G7" s="166"/>
      <c r="H7" s="125">
        <v>4.1666666666666664E-2</v>
      </c>
      <c r="I7" s="166"/>
      <c r="K7" s="125">
        <v>4.1666666666666664E-2</v>
      </c>
      <c r="L7" s="166"/>
      <c r="M7" s="125">
        <v>4.1666666666666664E-2</v>
      </c>
      <c r="N7" s="166"/>
      <c r="O7" s="125">
        <v>4.1666666666666664E-2</v>
      </c>
      <c r="P7" s="166"/>
      <c r="R7" s="125">
        <v>4.1666666666666664E-2</v>
      </c>
      <c r="S7" s="166">
        <v>0.61277099999999995</v>
      </c>
      <c r="T7" s="125">
        <v>4.1666666666666664E-2</v>
      </c>
      <c r="U7" s="166">
        <v>0.82660999999999996</v>
      </c>
      <c r="V7" s="125">
        <v>4.1666666666666664E-2</v>
      </c>
      <c r="W7" s="166">
        <v>1.0259199999999999</v>
      </c>
      <c r="Y7" s="125">
        <v>4.1666666666666664E-2</v>
      </c>
      <c r="Z7" s="166"/>
      <c r="AA7" s="125">
        <v>4.1666666666666664E-2</v>
      </c>
      <c r="AB7" s="166"/>
      <c r="AC7" s="125">
        <v>4.1666666666666664E-2</v>
      </c>
      <c r="AD7" s="166"/>
      <c r="AF7" s="125">
        <v>4.1666666666666664E-2</v>
      </c>
      <c r="AG7" s="166">
        <v>1.2323</v>
      </c>
      <c r="AH7" s="125">
        <v>4.1666666666666664E-2</v>
      </c>
      <c r="AI7" s="208">
        <v>2.0046400000000002</v>
      </c>
      <c r="AJ7" s="125">
        <v>4.1666666666666664E-2</v>
      </c>
      <c r="AK7" s="166">
        <v>2.56874</v>
      </c>
      <c r="AL7" s="208"/>
      <c r="AM7" s="125">
        <v>4.1666666666666664E-2</v>
      </c>
      <c r="AN7" s="166">
        <v>0.90466999999999997</v>
      </c>
      <c r="AO7" s="125">
        <v>4.1666666666666664E-2</v>
      </c>
      <c r="AP7" s="214">
        <v>1.33962</v>
      </c>
      <c r="AQ7" s="125">
        <v>4.1666666666666664E-2</v>
      </c>
      <c r="AR7" s="166">
        <v>1.6899599999999999</v>
      </c>
      <c r="AS7" s="214"/>
      <c r="AT7" s="125">
        <v>4.1666666666666664E-2</v>
      </c>
      <c r="AU7" s="21"/>
      <c r="AW7" s="125">
        <v>4.1666666666666664E-2</v>
      </c>
      <c r="AX7" s="21"/>
    </row>
    <row r="8" spans="1:50" x14ac:dyDescent="0.3">
      <c r="B8" s="186" t="s">
        <v>266</v>
      </c>
      <c r="D8" s="125">
        <v>5.2083333333333336E-2</v>
      </c>
      <c r="E8" s="166"/>
      <c r="F8" s="125">
        <v>5.2083333333333336E-2</v>
      </c>
      <c r="G8" s="166"/>
      <c r="H8" s="125">
        <v>5.2083333333333336E-2</v>
      </c>
      <c r="I8" s="166"/>
      <c r="K8" s="125">
        <v>5.2083333333333336E-2</v>
      </c>
      <c r="L8" s="166"/>
      <c r="M8" s="125">
        <v>5.2083333333333336E-2</v>
      </c>
      <c r="N8" s="166"/>
      <c r="O8" s="125">
        <v>5.2083333333333336E-2</v>
      </c>
      <c r="P8" s="166"/>
      <c r="R8" s="125">
        <v>5.2083333333333336E-2</v>
      </c>
      <c r="S8" s="166">
        <v>0.53357900000000003</v>
      </c>
      <c r="T8" s="125">
        <v>5.2083333333333336E-2</v>
      </c>
      <c r="U8" s="166">
        <v>0.70214399999999999</v>
      </c>
      <c r="V8" s="125">
        <v>5.2083333333333336E-2</v>
      </c>
      <c r="W8" s="166">
        <v>2.9367999999999999</v>
      </c>
      <c r="Y8" s="125">
        <v>5.2083333333333336E-2</v>
      </c>
      <c r="Z8" s="166"/>
      <c r="AA8" s="125">
        <v>5.2083333333333336E-2</v>
      </c>
      <c r="AB8" s="166"/>
      <c r="AC8" s="125">
        <v>5.2083333333333336E-2</v>
      </c>
      <c r="AD8" s="166"/>
      <c r="AF8" s="125">
        <v>5.2083333333333336E-2</v>
      </c>
      <c r="AG8" s="166">
        <v>1.7295499999999999</v>
      </c>
      <c r="AH8" s="125">
        <v>5.2083333333333336E-2</v>
      </c>
      <c r="AI8" s="208">
        <v>2.4685100000000002</v>
      </c>
      <c r="AJ8" s="125">
        <v>5.2083333333333336E-2</v>
      </c>
      <c r="AK8" s="166">
        <v>2.57368</v>
      </c>
      <c r="AL8" s="208"/>
      <c r="AM8" s="125">
        <v>5.2083333333333336E-2</v>
      </c>
      <c r="AN8" s="166">
        <v>1.0323500000000001</v>
      </c>
      <c r="AO8" s="125">
        <v>5.2083333333333336E-2</v>
      </c>
      <c r="AP8" s="214">
        <v>1.15829</v>
      </c>
      <c r="AQ8" s="125">
        <v>5.2083333333333336E-2</v>
      </c>
      <c r="AR8" s="166">
        <v>1.4549000000000001</v>
      </c>
      <c r="AS8" s="214"/>
      <c r="AT8" s="125">
        <v>5.2083333333333336E-2</v>
      </c>
      <c r="AU8" s="21"/>
      <c r="AW8" s="125">
        <v>5.2083333333333336E-2</v>
      </c>
      <c r="AX8" s="21"/>
    </row>
    <row r="9" spans="1:50" x14ac:dyDescent="0.3">
      <c r="B9" s="43">
        <f>'User Interface'!$G$8</f>
        <v>0</v>
      </c>
      <c r="D9" s="125">
        <v>6.25E-2</v>
      </c>
      <c r="E9" s="166"/>
      <c r="F9" s="125">
        <v>6.25E-2</v>
      </c>
      <c r="G9" s="166"/>
      <c r="H9" s="125">
        <v>6.25E-2</v>
      </c>
      <c r="I9" s="166"/>
      <c r="K9" s="125">
        <v>6.25E-2</v>
      </c>
      <c r="L9" s="166"/>
      <c r="M9" s="125">
        <v>6.25E-2</v>
      </c>
      <c r="N9" s="166"/>
      <c r="O9" s="125">
        <v>6.25E-2</v>
      </c>
      <c r="P9" s="166"/>
      <c r="R9" s="125">
        <v>6.25E-2</v>
      </c>
      <c r="S9" s="166">
        <v>0.53357900000000003</v>
      </c>
      <c r="T9" s="125">
        <v>6.25E-2</v>
      </c>
      <c r="U9" s="166">
        <v>0.70214399999999999</v>
      </c>
      <c r="V9" s="125">
        <v>6.25E-2</v>
      </c>
      <c r="W9" s="166">
        <v>2.9367999999999999</v>
      </c>
      <c r="Y9" s="125">
        <v>6.25E-2</v>
      </c>
      <c r="Z9" s="166"/>
      <c r="AA9" s="125">
        <v>6.25E-2</v>
      </c>
      <c r="AB9" s="166"/>
      <c r="AC9" s="125">
        <v>6.25E-2</v>
      </c>
      <c r="AD9" s="166"/>
      <c r="AF9" s="125">
        <v>6.25E-2</v>
      </c>
      <c r="AG9" s="166">
        <v>1.7295499999999999</v>
      </c>
      <c r="AH9" s="125">
        <v>6.25E-2</v>
      </c>
      <c r="AI9" s="208">
        <v>2.4685100000000002</v>
      </c>
      <c r="AJ9" s="125">
        <v>6.25E-2</v>
      </c>
      <c r="AK9" s="166">
        <v>2.57368</v>
      </c>
      <c r="AL9" s="208"/>
      <c r="AM9" s="125">
        <v>6.25E-2</v>
      </c>
      <c r="AN9" s="166">
        <v>1.0323500000000001</v>
      </c>
      <c r="AO9" s="125">
        <v>6.25E-2</v>
      </c>
      <c r="AP9" s="214">
        <v>1.15829</v>
      </c>
      <c r="AQ9" s="125">
        <v>6.25E-2</v>
      </c>
      <c r="AR9" s="166">
        <v>1.4549000000000001</v>
      </c>
      <c r="AS9" s="214"/>
      <c r="AT9" s="125">
        <v>6.25E-2</v>
      </c>
      <c r="AU9" s="21"/>
      <c r="AW9" s="125">
        <v>6.25E-2</v>
      </c>
      <c r="AX9" s="21"/>
    </row>
    <row r="10" spans="1:50" x14ac:dyDescent="0.3">
      <c r="D10" s="125">
        <v>7.2916666666666671E-2</v>
      </c>
      <c r="E10" s="166"/>
      <c r="F10" s="125">
        <v>7.2916666666666671E-2</v>
      </c>
      <c r="G10" s="166"/>
      <c r="H10" s="125">
        <v>7.2916666666666671E-2</v>
      </c>
      <c r="I10" s="166"/>
      <c r="K10" s="125">
        <v>7.2916666666666671E-2</v>
      </c>
      <c r="L10" s="166"/>
      <c r="M10" s="125">
        <v>7.2916666666666671E-2</v>
      </c>
      <c r="N10" s="166"/>
      <c r="O10" s="125">
        <v>7.2916666666666671E-2</v>
      </c>
      <c r="P10" s="166"/>
      <c r="R10" s="125">
        <v>7.2916666666666671E-2</v>
      </c>
      <c r="S10" s="166">
        <v>0.53357900000000003</v>
      </c>
      <c r="T10" s="125">
        <v>7.2916666666666671E-2</v>
      </c>
      <c r="U10" s="166">
        <v>0.70214399999999999</v>
      </c>
      <c r="V10" s="125">
        <v>7.2916666666666671E-2</v>
      </c>
      <c r="W10" s="166">
        <v>2.9367999999999999</v>
      </c>
      <c r="Y10" s="125">
        <v>7.2916666666666671E-2</v>
      </c>
      <c r="Z10" s="166"/>
      <c r="AA10" s="125">
        <v>7.2916666666666671E-2</v>
      </c>
      <c r="AB10" s="166"/>
      <c r="AC10" s="125">
        <v>7.2916666666666671E-2</v>
      </c>
      <c r="AD10" s="166"/>
      <c r="AF10" s="125">
        <v>7.2916666666666671E-2</v>
      </c>
      <c r="AG10" s="166">
        <v>1.7295499999999999</v>
      </c>
      <c r="AH10" s="125">
        <v>7.2916666666666671E-2</v>
      </c>
      <c r="AI10" s="208">
        <v>2.4685100000000002</v>
      </c>
      <c r="AJ10" s="125">
        <v>7.2916666666666671E-2</v>
      </c>
      <c r="AK10" s="166">
        <v>2.57368</v>
      </c>
      <c r="AL10" s="208"/>
      <c r="AM10" s="125">
        <v>7.2916666666666671E-2</v>
      </c>
      <c r="AN10" s="166">
        <v>1.0323500000000001</v>
      </c>
      <c r="AO10" s="125">
        <v>7.2916666666666671E-2</v>
      </c>
      <c r="AP10" s="214">
        <v>1.15829</v>
      </c>
      <c r="AQ10" s="125">
        <v>7.2916666666666671E-2</v>
      </c>
      <c r="AR10" s="166">
        <v>1.4549000000000001</v>
      </c>
      <c r="AS10" s="214"/>
      <c r="AT10" s="125">
        <v>7.2916666666666671E-2</v>
      </c>
      <c r="AU10" s="21"/>
      <c r="AW10" s="125">
        <v>7.2916666666666671E-2</v>
      </c>
      <c r="AX10" s="21"/>
    </row>
    <row r="11" spans="1:50" x14ac:dyDescent="0.3">
      <c r="A11" s="185" t="s">
        <v>226</v>
      </c>
      <c r="B11" s="174" t="s">
        <v>249</v>
      </c>
      <c r="D11" s="125">
        <v>8.3333333333333329E-2</v>
      </c>
      <c r="E11" s="166"/>
      <c r="F11" s="125">
        <v>8.3333333333333329E-2</v>
      </c>
      <c r="G11" s="166"/>
      <c r="H11" s="125">
        <v>8.3333333333333329E-2</v>
      </c>
      <c r="I11" s="166"/>
      <c r="K11" s="125">
        <v>8.3333333333333329E-2</v>
      </c>
      <c r="L11" s="166"/>
      <c r="M11" s="125">
        <v>8.3333333333333329E-2</v>
      </c>
      <c r="N11" s="166"/>
      <c r="O11" s="125">
        <v>8.3333333333333329E-2</v>
      </c>
      <c r="P11" s="166"/>
      <c r="R11" s="125">
        <v>8.3333333333333329E-2</v>
      </c>
      <c r="S11" s="166">
        <v>0.53357900000000003</v>
      </c>
      <c r="T11" s="125">
        <v>8.3333333333333329E-2</v>
      </c>
      <c r="U11" s="166">
        <v>0.70214399999999999</v>
      </c>
      <c r="V11" s="125">
        <v>8.3333333333333329E-2</v>
      </c>
      <c r="W11" s="166">
        <v>2.9367999999999999</v>
      </c>
      <c r="Y11" s="125">
        <v>8.3333333333333329E-2</v>
      </c>
      <c r="Z11" s="166"/>
      <c r="AA11" s="125">
        <v>8.3333333333333329E-2</v>
      </c>
      <c r="AB11" s="166"/>
      <c r="AC11" s="125">
        <v>8.3333333333333329E-2</v>
      </c>
      <c r="AD11" s="166"/>
      <c r="AF11" s="125">
        <v>8.3333333333333329E-2</v>
      </c>
      <c r="AG11" s="166">
        <v>1.7295499999999999</v>
      </c>
      <c r="AH11" s="125">
        <v>8.3333333333333329E-2</v>
      </c>
      <c r="AI11" s="208">
        <v>2.4685100000000002</v>
      </c>
      <c r="AJ11" s="125">
        <v>8.3333333333333329E-2</v>
      </c>
      <c r="AK11" s="166">
        <v>2.57368</v>
      </c>
      <c r="AL11" s="208"/>
      <c r="AM11" s="125">
        <v>8.3333333333333329E-2</v>
      </c>
      <c r="AN11" s="166">
        <v>1.0323500000000001</v>
      </c>
      <c r="AO11" s="125">
        <v>8.3333333333333329E-2</v>
      </c>
      <c r="AP11" s="214">
        <v>1.15829</v>
      </c>
      <c r="AQ11" s="125">
        <v>8.3333333333333329E-2</v>
      </c>
      <c r="AR11" s="166">
        <v>1.4549000000000001</v>
      </c>
      <c r="AS11" s="214"/>
      <c r="AT11" s="125">
        <v>8.3333333333333329E-2</v>
      </c>
      <c r="AU11" s="21"/>
      <c r="AW11" s="125">
        <v>8.3333333333333329E-2</v>
      </c>
      <c r="AX11" s="21"/>
    </row>
    <row r="12" spans="1:50" x14ac:dyDescent="0.3">
      <c r="A12" s="123">
        <v>1.0416666666666666E-2</v>
      </c>
      <c r="B12" s="133">
        <f>IF($B$6=TRUE,IF(AND($B$3=$D$1,$B$9=$D$2),E4*1000,IF(AND($B$3=$D$1,$B$9=$F$2),G4*1000,IF(AND($B$3=$D$1,$B$9=$H$2),I4*1000,IF(AND($B$3=$K$1,$B$9=$K$2),L4*1000,IF(AND($B$3=$K$1,$B$9=$M$2),N4*1000,IF(AND($B$3=$K$1,$B$9=$O$2),P4*1000,IF(AND($B$3=$R$1,$B$9=$R$2),S4*1000,IF(AND($B$3=$R$1,$B$9=$T$2),U4*1000,IF(AND($B$3=$R$1,$B$9=$V$2),W4*1000,IF(AND($B$3=$Y$1,$B$9=$Y$2),Z4*1000,IF(AND($B$3=$Y$1,$B$9=$AA$2),AB4*1000,IF(AND($B$3=$Y$1,$B$9=$AC$2),AD4*1000,IF(AND($B$3=$AF$1,$B$9=$AF$2),AG4*1000,IF(AND($B$3=$AF$1,$B$9=$AH$2),AI4*1000,IF(AND($B$3=$AF$1,$B$9=$AJ$2),AK4*1000,IF(AND($B$3=$AM$1,$B$9=$AM$2),AN4*1000,IF(AND($B$3=$AM$1,$B$9=$AO$2),AP4*1000,IF(AND($B$3=$AM$1,$B$9=$AQ$2),AR4*1000,IF($B$3=$AT$2,AU4*1000,IF($B$3=$AW$2,AX4*1000,0)))))))))))))))))))),0)</f>
        <v>0</v>
      </c>
      <c r="D12" s="125">
        <v>9.375E-2</v>
      </c>
      <c r="E12" s="166"/>
      <c r="F12" s="125">
        <v>9.375E-2</v>
      </c>
      <c r="G12" s="166"/>
      <c r="H12" s="125">
        <v>9.375E-2</v>
      </c>
      <c r="I12" s="166"/>
      <c r="K12" s="125">
        <v>9.375E-2</v>
      </c>
      <c r="L12" s="166"/>
      <c r="M12" s="125">
        <v>9.375E-2</v>
      </c>
      <c r="N12" s="166"/>
      <c r="O12" s="125">
        <v>9.375E-2</v>
      </c>
      <c r="P12" s="166"/>
      <c r="R12" s="125">
        <v>9.375E-2</v>
      </c>
      <c r="S12" s="166">
        <v>0.48527799999999999</v>
      </c>
      <c r="T12" s="125">
        <v>9.375E-2</v>
      </c>
      <c r="U12" s="166">
        <v>0.62562099999999998</v>
      </c>
      <c r="V12" s="125">
        <v>9.375E-2</v>
      </c>
      <c r="W12" s="166">
        <v>0.76859500000000003</v>
      </c>
      <c r="Y12" s="125">
        <v>9.375E-2</v>
      </c>
      <c r="Z12" s="166"/>
      <c r="AA12" s="125">
        <v>9.375E-2</v>
      </c>
      <c r="AB12" s="166"/>
      <c r="AC12" s="125">
        <v>9.375E-2</v>
      </c>
      <c r="AD12" s="166"/>
      <c r="AF12" s="125">
        <v>9.375E-2</v>
      </c>
      <c r="AG12" s="166">
        <v>1.2754099999999999</v>
      </c>
      <c r="AH12" s="125">
        <v>9.375E-2</v>
      </c>
      <c r="AI12" s="208">
        <v>3.4030399999999998</v>
      </c>
      <c r="AJ12" s="125">
        <v>9.375E-2</v>
      </c>
      <c r="AK12" s="166">
        <v>2.6149</v>
      </c>
      <c r="AL12" s="208"/>
      <c r="AM12" s="125">
        <v>9.375E-2</v>
      </c>
      <c r="AN12" s="166">
        <v>0.70507799999999998</v>
      </c>
      <c r="AO12" s="125">
        <v>9.375E-2</v>
      </c>
      <c r="AP12" s="214">
        <v>0.99580500000000005</v>
      </c>
      <c r="AQ12" s="125">
        <v>9.375E-2</v>
      </c>
      <c r="AR12" s="166">
        <v>1.2412700000000001</v>
      </c>
      <c r="AS12" s="214"/>
      <c r="AT12" s="125">
        <v>9.375E-2</v>
      </c>
      <c r="AU12" s="21"/>
      <c r="AW12" s="125">
        <v>9.375E-2</v>
      </c>
      <c r="AX12" s="21"/>
    </row>
    <row r="13" spans="1:50" x14ac:dyDescent="0.3">
      <c r="A13" s="123">
        <v>2.0833333333333332E-2</v>
      </c>
      <c r="B13" s="133">
        <f t="shared" ref="B13:B76" si="0">IF($B$6=TRUE,IF(AND($B$3=$D$1,$B$9=$D$2),E5*1000,IF(AND($B$3=$D$1,$B$9=$F$2),G5*1000,IF(AND($B$3=$D$1,$B$9=$H$2),I5*1000,IF(AND($B$3=$K$1,$B$9=$K$2),L5*1000,IF(AND($B$3=$K$1,$B$9=$M$2),N5*1000,IF(AND($B$3=$K$1,$B$9=$O$2),P5*1000,IF(AND($B$3=$R$1,$B$9=$R$2),S5*1000,IF(AND($B$3=$R$1,$B$9=$T$2),U5*1000,IF(AND($B$3=$R$1,$B$9=$V$2),W5*1000,IF(AND($B$3=$Y$1,$B$9=$Y$2),Z5*1000,IF(AND($B$3=$Y$1,$B$9=$AA$2),AB5*1000,IF(AND($B$3=$Y$1,$B$9=$AC$2),AD5*1000,IF(AND($B$3=$AF$1,$B$9=$AF$2),AG5*1000,IF(AND($B$3=$AF$1,$B$9=$AH$2),AI5*1000,IF(AND($B$3=$AF$1,$B$9=$AJ$2),AK5*1000,IF(AND($B$3=$AM$1,$B$9=$AM$2),AN5*1000,IF(AND($B$3=$AM$1,$B$9=$AO$2),AP5*1000,IF(AND($B$3=$AM$1,$B$9=$AQ$2),AR5*1000,IF($B$3=$AT$2,AU5*1000,IF($B$3=$AW$2,AX5*1000,0)))))))))))))))))))),0)</f>
        <v>0</v>
      </c>
      <c r="D13" s="125">
        <v>0.10416666666666667</v>
      </c>
      <c r="E13" s="166"/>
      <c r="F13" s="125">
        <v>0.10416666666666667</v>
      </c>
      <c r="G13" s="166"/>
      <c r="H13" s="125">
        <v>0.10416666666666667</v>
      </c>
      <c r="I13" s="166"/>
      <c r="K13" s="125">
        <v>0.10416666666666667</v>
      </c>
      <c r="L13" s="166"/>
      <c r="M13" s="125">
        <v>0.10416666666666667</v>
      </c>
      <c r="N13" s="166"/>
      <c r="O13" s="125">
        <v>0.10416666666666667</v>
      </c>
      <c r="P13" s="166"/>
      <c r="R13" s="125">
        <v>0.10416666666666667</v>
      </c>
      <c r="S13" s="166">
        <v>0.48527799999999999</v>
      </c>
      <c r="T13" s="125">
        <v>0.10416666666666667</v>
      </c>
      <c r="U13" s="166">
        <v>0.62562099999999998</v>
      </c>
      <c r="V13" s="125">
        <v>0.10416666666666667</v>
      </c>
      <c r="W13" s="166">
        <v>0.76859500000000003</v>
      </c>
      <c r="Y13" s="125">
        <v>0.10416666666666667</v>
      </c>
      <c r="Z13" s="166"/>
      <c r="AA13" s="125">
        <v>0.10416666666666667</v>
      </c>
      <c r="AB13" s="166"/>
      <c r="AC13" s="125">
        <v>0.10416666666666667</v>
      </c>
      <c r="AD13" s="166"/>
      <c r="AF13" s="125">
        <v>0.10416666666666667</v>
      </c>
      <c r="AG13" s="166">
        <v>1.2754099999999999</v>
      </c>
      <c r="AH13" s="125">
        <v>0.10416666666666667</v>
      </c>
      <c r="AI13" s="208">
        <v>3.4030399999999998</v>
      </c>
      <c r="AJ13" s="125">
        <v>0.10416666666666667</v>
      </c>
      <c r="AK13" s="166">
        <v>2.6149</v>
      </c>
      <c r="AL13" s="208"/>
      <c r="AM13" s="125">
        <v>0.10416666666666667</v>
      </c>
      <c r="AN13" s="166">
        <v>0.70507799999999998</v>
      </c>
      <c r="AO13" s="125">
        <v>0.10416666666666667</v>
      </c>
      <c r="AP13" s="214">
        <v>0.99580500000000005</v>
      </c>
      <c r="AQ13" s="125">
        <v>0.10416666666666667</v>
      </c>
      <c r="AR13" s="166">
        <v>1.2412700000000001</v>
      </c>
      <c r="AS13" s="214"/>
      <c r="AT13" s="125">
        <v>0.10416666666666667</v>
      </c>
      <c r="AU13" s="21"/>
      <c r="AW13" s="125">
        <v>0.10416666666666667</v>
      </c>
      <c r="AX13" s="21"/>
    </row>
    <row r="14" spans="1:50" x14ac:dyDescent="0.3">
      <c r="A14" s="123">
        <v>3.125E-2</v>
      </c>
      <c r="B14" s="133">
        <f t="shared" si="0"/>
        <v>0</v>
      </c>
      <c r="D14" s="125">
        <v>0.11458333333333333</v>
      </c>
      <c r="E14" s="166"/>
      <c r="F14" s="125">
        <v>0.11458333333333333</v>
      </c>
      <c r="G14" s="166"/>
      <c r="H14" s="125">
        <v>0.11458333333333333</v>
      </c>
      <c r="I14" s="166"/>
      <c r="K14" s="125">
        <v>0.11458333333333333</v>
      </c>
      <c r="L14" s="166"/>
      <c r="M14" s="125">
        <v>0.11458333333333333</v>
      </c>
      <c r="N14" s="166"/>
      <c r="O14" s="125">
        <v>0.11458333333333333</v>
      </c>
      <c r="P14" s="166"/>
      <c r="R14" s="125">
        <v>0.11458333333333333</v>
      </c>
      <c r="S14" s="166">
        <v>0.48527799999999999</v>
      </c>
      <c r="T14" s="125">
        <v>0.11458333333333333</v>
      </c>
      <c r="U14" s="166">
        <v>0.62562099999999998</v>
      </c>
      <c r="V14" s="125">
        <v>0.11458333333333333</v>
      </c>
      <c r="W14" s="166">
        <v>0.76859500000000003</v>
      </c>
      <c r="Y14" s="125">
        <v>0.11458333333333333</v>
      </c>
      <c r="Z14" s="166"/>
      <c r="AA14" s="125">
        <v>0.11458333333333333</v>
      </c>
      <c r="AB14" s="166"/>
      <c r="AC14" s="125">
        <v>0.11458333333333333</v>
      </c>
      <c r="AD14" s="166"/>
      <c r="AF14" s="125">
        <v>0.11458333333333333</v>
      </c>
      <c r="AG14" s="166">
        <v>1.2754099999999999</v>
      </c>
      <c r="AH14" s="125">
        <v>0.11458333333333333</v>
      </c>
      <c r="AI14" s="208">
        <v>3.4030399999999998</v>
      </c>
      <c r="AJ14" s="125">
        <v>0.11458333333333333</v>
      </c>
      <c r="AK14" s="166">
        <v>2.6149</v>
      </c>
      <c r="AL14" s="208"/>
      <c r="AM14" s="125">
        <v>0.11458333333333333</v>
      </c>
      <c r="AN14" s="166">
        <v>0.70507799999999998</v>
      </c>
      <c r="AO14" s="125">
        <v>0.11458333333333333</v>
      </c>
      <c r="AP14" s="214">
        <v>0.99580500000000005</v>
      </c>
      <c r="AQ14" s="125">
        <v>0.11458333333333333</v>
      </c>
      <c r="AR14" s="166">
        <v>1.2412700000000001</v>
      </c>
      <c r="AS14" s="214"/>
      <c r="AT14" s="125">
        <v>0.11458333333333333</v>
      </c>
      <c r="AU14" s="21"/>
      <c r="AW14" s="125">
        <v>0.11458333333333333</v>
      </c>
      <c r="AX14" s="21"/>
    </row>
    <row r="15" spans="1:50" x14ac:dyDescent="0.3">
      <c r="A15" s="123">
        <v>4.1666666666666664E-2</v>
      </c>
      <c r="B15" s="133">
        <f t="shared" si="0"/>
        <v>0</v>
      </c>
      <c r="D15" s="125">
        <v>0.125</v>
      </c>
      <c r="E15" s="166"/>
      <c r="F15" s="125">
        <v>0.125</v>
      </c>
      <c r="G15" s="166"/>
      <c r="H15" s="125">
        <v>0.125</v>
      </c>
      <c r="I15" s="166"/>
      <c r="K15" s="125">
        <v>0.125</v>
      </c>
      <c r="L15" s="166"/>
      <c r="M15" s="125">
        <v>0.125</v>
      </c>
      <c r="N15" s="166"/>
      <c r="O15" s="125">
        <v>0.125</v>
      </c>
      <c r="P15" s="166"/>
      <c r="R15" s="125">
        <v>0.125</v>
      </c>
      <c r="S15" s="166">
        <v>0.48527799999999999</v>
      </c>
      <c r="T15" s="125">
        <v>0.125</v>
      </c>
      <c r="U15" s="166">
        <v>0.62562099999999998</v>
      </c>
      <c r="V15" s="125">
        <v>0.125</v>
      </c>
      <c r="W15" s="166">
        <v>0.76859500000000003</v>
      </c>
      <c r="Y15" s="125">
        <v>0.125</v>
      </c>
      <c r="Z15" s="166"/>
      <c r="AA15" s="125">
        <v>0.125</v>
      </c>
      <c r="AB15" s="166"/>
      <c r="AC15" s="125">
        <v>0.125</v>
      </c>
      <c r="AD15" s="166"/>
      <c r="AF15" s="125">
        <v>0.125</v>
      </c>
      <c r="AG15" s="166">
        <v>1.2754099999999999</v>
      </c>
      <c r="AH15" s="125">
        <v>0.125</v>
      </c>
      <c r="AI15" s="208">
        <v>3.4030399999999998</v>
      </c>
      <c r="AJ15" s="125">
        <v>0.125</v>
      </c>
      <c r="AK15" s="166">
        <v>2.6149</v>
      </c>
      <c r="AL15" s="208"/>
      <c r="AM15" s="125">
        <v>0.125</v>
      </c>
      <c r="AN15" s="166">
        <v>0.70507799999999998</v>
      </c>
      <c r="AO15" s="125">
        <v>0.125</v>
      </c>
      <c r="AP15" s="214">
        <v>0.99580500000000005</v>
      </c>
      <c r="AQ15" s="125">
        <v>0.125</v>
      </c>
      <c r="AR15" s="166">
        <v>1.2412700000000001</v>
      </c>
      <c r="AS15" s="214"/>
      <c r="AT15" s="125">
        <v>0.125</v>
      </c>
      <c r="AU15" s="21"/>
      <c r="AW15" s="125">
        <v>0.125</v>
      </c>
      <c r="AX15" s="21"/>
    </row>
    <row r="16" spans="1:50" x14ac:dyDescent="0.3">
      <c r="A16" s="123">
        <v>5.2083333333333336E-2</v>
      </c>
      <c r="B16" s="133">
        <f t="shared" si="0"/>
        <v>0</v>
      </c>
      <c r="D16" s="125">
        <v>0.13541666666666666</v>
      </c>
      <c r="E16" s="166"/>
      <c r="F16" s="125">
        <v>0.13541666666666666</v>
      </c>
      <c r="G16" s="166"/>
      <c r="H16" s="125">
        <v>0.13541666666666666</v>
      </c>
      <c r="I16" s="166"/>
      <c r="K16" s="125">
        <v>0.13541666666666666</v>
      </c>
      <c r="L16" s="166"/>
      <c r="M16" s="125">
        <v>0.13541666666666666</v>
      </c>
      <c r="N16" s="166"/>
      <c r="O16" s="125">
        <v>0.13541666666666666</v>
      </c>
      <c r="P16" s="166"/>
      <c r="R16" s="125">
        <v>0.13541666666666666</v>
      </c>
      <c r="S16" s="166">
        <v>0.45707199999999998</v>
      </c>
      <c r="T16" s="125">
        <v>0.13541666666666666</v>
      </c>
      <c r="U16" s="166">
        <v>0.58282400000000001</v>
      </c>
      <c r="V16" s="125">
        <v>0.13541666666666666</v>
      </c>
      <c r="W16" s="166">
        <v>0.71109500000000003</v>
      </c>
      <c r="Y16" s="125">
        <v>0.13541666666666666</v>
      </c>
      <c r="Z16" s="166"/>
      <c r="AA16" s="125">
        <v>0.13541666666666666</v>
      </c>
      <c r="AB16" s="166"/>
      <c r="AC16" s="125">
        <v>0.13541666666666666</v>
      </c>
      <c r="AD16" s="166"/>
      <c r="AF16" s="125">
        <v>0.13541666666666666</v>
      </c>
      <c r="AG16" s="166">
        <v>1.5461400000000001</v>
      </c>
      <c r="AH16" s="125">
        <v>0.13541666666666666</v>
      </c>
      <c r="AI16" s="208">
        <v>2.12026</v>
      </c>
      <c r="AJ16" s="125">
        <v>0.13541666666666666</v>
      </c>
      <c r="AK16" s="166">
        <v>2.78973</v>
      </c>
      <c r="AL16" s="208"/>
      <c r="AM16" s="125">
        <v>0.13541666666666666</v>
      </c>
      <c r="AN16" s="166">
        <v>0.60711700000000002</v>
      </c>
      <c r="AO16" s="125">
        <v>0.13541666666666666</v>
      </c>
      <c r="AP16" s="214">
        <v>0.83643000000000001</v>
      </c>
      <c r="AQ16" s="125">
        <v>0.13541666666666666</v>
      </c>
      <c r="AR16" s="166">
        <v>1.0503100000000001</v>
      </c>
      <c r="AS16" s="214"/>
      <c r="AT16" s="125">
        <v>0.13541666666666666</v>
      </c>
      <c r="AU16" s="21"/>
      <c r="AW16" s="125">
        <v>0.13541666666666666</v>
      </c>
      <c r="AX16" s="21"/>
    </row>
    <row r="17" spans="1:50" x14ac:dyDescent="0.3">
      <c r="A17" s="123">
        <v>6.25E-2</v>
      </c>
      <c r="B17" s="133">
        <f t="shared" si="0"/>
        <v>0</v>
      </c>
      <c r="D17" s="125">
        <v>0.14583333333333334</v>
      </c>
      <c r="E17" s="166"/>
      <c r="F17" s="125">
        <v>0.14583333333333334</v>
      </c>
      <c r="G17" s="166"/>
      <c r="H17" s="125">
        <v>0.14583333333333334</v>
      </c>
      <c r="I17" s="166"/>
      <c r="K17" s="125">
        <v>0.14583333333333334</v>
      </c>
      <c r="L17" s="166"/>
      <c r="M17" s="125">
        <v>0.14583333333333334</v>
      </c>
      <c r="N17" s="166"/>
      <c r="O17" s="125">
        <v>0.14583333333333334</v>
      </c>
      <c r="P17" s="166"/>
      <c r="R17" s="125">
        <v>0.14583333333333334</v>
      </c>
      <c r="S17" s="166">
        <v>0.45707199999999998</v>
      </c>
      <c r="T17" s="125">
        <v>0.14583333333333334</v>
      </c>
      <c r="U17" s="166">
        <v>0.58282400000000001</v>
      </c>
      <c r="V17" s="125">
        <v>0.14583333333333334</v>
      </c>
      <c r="W17" s="166">
        <v>0.71109500000000003</v>
      </c>
      <c r="Y17" s="125">
        <v>0.14583333333333334</v>
      </c>
      <c r="Z17" s="166"/>
      <c r="AA17" s="125">
        <v>0.14583333333333334</v>
      </c>
      <c r="AB17" s="166"/>
      <c r="AC17" s="125">
        <v>0.14583333333333334</v>
      </c>
      <c r="AD17" s="166"/>
      <c r="AF17" s="125">
        <v>0.14583333333333334</v>
      </c>
      <c r="AG17" s="166">
        <v>1.5461400000000001</v>
      </c>
      <c r="AH17" s="125">
        <v>0.14583333333333334</v>
      </c>
      <c r="AI17" s="208">
        <v>2.12026</v>
      </c>
      <c r="AJ17" s="125">
        <v>0.14583333333333334</v>
      </c>
      <c r="AK17" s="166">
        <v>2.78973</v>
      </c>
      <c r="AL17" s="208"/>
      <c r="AM17" s="125">
        <v>0.14583333333333334</v>
      </c>
      <c r="AN17" s="166">
        <v>0.60711700000000002</v>
      </c>
      <c r="AO17" s="125">
        <v>0.14583333333333334</v>
      </c>
      <c r="AP17" s="214">
        <v>0.83643000000000001</v>
      </c>
      <c r="AQ17" s="125">
        <v>0.14583333333333334</v>
      </c>
      <c r="AR17" s="166">
        <v>1.0503100000000001</v>
      </c>
      <c r="AS17" s="214"/>
      <c r="AT17" s="125">
        <v>0.14583333333333334</v>
      </c>
      <c r="AU17" s="21"/>
      <c r="AW17" s="125">
        <v>0.14583333333333334</v>
      </c>
      <c r="AX17" s="21"/>
    </row>
    <row r="18" spans="1:50" x14ac:dyDescent="0.3">
      <c r="A18" s="123">
        <v>7.2916666666666671E-2</v>
      </c>
      <c r="B18" s="133">
        <f t="shared" si="0"/>
        <v>0</v>
      </c>
      <c r="D18" s="125">
        <v>0.15625</v>
      </c>
      <c r="E18" s="166"/>
      <c r="F18" s="125">
        <v>0.15625</v>
      </c>
      <c r="G18" s="166"/>
      <c r="H18" s="125">
        <v>0.15625</v>
      </c>
      <c r="I18" s="166"/>
      <c r="K18" s="125">
        <v>0.15625</v>
      </c>
      <c r="L18" s="166"/>
      <c r="M18" s="125">
        <v>0.15625</v>
      </c>
      <c r="N18" s="166"/>
      <c r="O18" s="125">
        <v>0.15625</v>
      </c>
      <c r="P18" s="166"/>
      <c r="R18" s="125">
        <v>0.15625</v>
      </c>
      <c r="S18" s="166">
        <v>0.45707199999999998</v>
      </c>
      <c r="T18" s="125">
        <v>0.15625</v>
      </c>
      <c r="U18" s="166">
        <v>0.58282400000000001</v>
      </c>
      <c r="V18" s="125">
        <v>0.15625</v>
      </c>
      <c r="W18" s="166">
        <v>0.71109500000000003</v>
      </c>
      <c r="Y18" s="125">
        <v>0.15625</v>
      </c>
      <c r="Z18" s="166"/>
      <c r="AA18" s="125">
        <v>0.15625</v>
      </c>
      <c r="AB18" s="166"/>
      <c r="AC18" s="125">
        <v>0.15625</v>
      </c>
      <c r="AD18" s="166"/>
      <c r="AF18" s="125">
        <v>0.15625</v>
      </c>
      <c r="AG18" s="166">
        <v>1.5461400000000001</v>
      </c>
      <c r="AH18" s="125">
        <v>0.15625</v>
      </c>
      <c r="AI18" s="208">
        <v>2.12026</v>
      </c>
      <c r="AJ18" s="125">
        <v>0.15625</v>
      </c>
      <c r="AK18" s="166">
        <v>2.78973</v>
      </c>
      <c r="AL18" s="208"/>
      <c r="AM18" s="125">
        <v>0.15625</v>
      </c>
      <c r="AN18" s="166">
        <v>0.60711700000000002</v>
      </c>
      <c r="AO18" s="125">
        <v>0.15625</v>
      </c>
      <c r="AP18" s="214">
        <v>0.83643000000000001</v>
      </c>
      <c r="AQ18" s="125">
        <v>0.15625</v>
      </c>
      <c r="AR18" s="166">
        <v>1.0503100000000001</v>
      </c>
      <c r="AS18" s="214"/>
      <c r="AT18" s="125">
        <v>0.15625</v>
      </c>
      <c r="AU18" s="21"/>
      <c r="AW18" s="125">
        <v>0.15625</v>
      </c>
      <c r="AX18" s="21"/>
    </row>
    <row r="19" spans="1:50" x14ac:dyDescent="0.3">
      <c r="A19" s="123">
        <v>8.3333333333333329E-2</v>
      </c>
      <c r="B19" s="133">
        <f t="shared" si="0"/>
        <v>0</v>
      </c>
      <c r="D19" s="125">
        <v>0.16666666666666666</v>
      </c>
      <c r="E19" s="166"/>
      <c r="F19" s="125">
        <v>0.16666666666666666</v>
      </c>
      <c r="G19" s="166"/>
      <c r="H19" s="125">
        <v>0.16666666666666666</v>
      </c>
      <c r="I19" s="166"/>
      <c r="K19" s="125">
        <v>0.16666666666666666</v>
      </c>
      <c r="L19" s="166"/>
      <c r="M19" s="125">
        <v>0.16666666666666666</v>
      </c>
      <c r="N19" s="166"/>
      <c r="O19" s="125">
        <v>0.16666666666666666</v>
      </c>
      <c r="P19" s="166"/>
      <c r="R19" s="125">
        <v>0.16666666666666666</v>
      </c>
      <c r="S19" s="166">
        <v>0.45707199999999998</v>
      </c>
      <c r="T19" s="125">
        <v>0.16666666666666666</v>
      </c>
      <c r="U19" s="166">
        <v>0.58282400000000001</v>
      </c>
      <c r="V19" s="125">
        <v>0.16666666666666666</v>
      </c>
      <c r="W19" s="166">
        <v>0.71109500000000003</v>
      </c>
      <c r="Y19" s="125">
        <v>0.16666666666666666</v>
      </c>
      <c r="Z19" s="166"/>
      <c r="AA19" s="125">
        <v>0.16666666666666666</v>
      </c>
      <c r="AB19" s="166"/>
      <c r="AC19" s="125">
        <v>0.16666666666666666</v>
      </c>
      <c r="AD19" s="166"/>
      <c r="AF19" s="125">
        <v>0.16666666666666666</v>
      </c>
      <c r="AG19" s="166">
        <v>1.5461400000000001</v>
      </c>
      <c r="AH19" s="125">
        <v>0.16666666666666666</v>
      </c>
      <c r="AI19" s="208">
        <v>2.12026</v>
      </c>
      <c r="AJ19" s="125">
        <v>0.16666666666666666</v>
      </c>
      <c r="AK19" s="166">
        <v>2.78973</v>
      </c>
      <c r="AL19" s="208"/>
      <c r="AM19" s="125">
        <v>0.16666666666666666</v>
      </c>
      <c r="AN19" s="166">
        <v>0.60711700000000002</v>
      </c>
      <c r="AO19" s="125">
        <v>0.16666666666666666</v>
      </c>
      <c r="AP19" s="214">
        <v>0.83643000000000001</v>
      </c>
      <c r="AQ19" s="125">
        <v>0.16666666666666666</v>
      </c>
      <c r="AR19" s="166">
        <v>1.0503100000000001</v>
      </c>
      <c r="AS19" s="214"/>
      <c r="AT19" s="125">
        <v>0.16666666666666666</v>
      </c>
      <c r="AU19" s="21"/>
      <c r="AW19" s="125">
        <v>0.16666666666666666</v>
      </c>
      <c r="AX19" s="21"/>
    </row>
    <row r="20" spans="1:50" x14ac:dyDescent="0.3">
      <c r="A20" s="123">
        <v>9.375E-2</v>
      </c>
      <c r="B20" s="133">
        <f t="shared" si="0"/>
        <v>0</v>
      </c>
      <c r="D20" s="125">
        <v>0.17708333333333334</v>
      </c>
      <c r="E20" s="166"/>
      <c r="F20" s="125">
        <v>0.17708333333333334</v>
      </c>
      <c r="G20" s="166"/>
      <c r="H20" s="125">
        <v>0.17708333333333334</v>
      </c>
      <c r="I20" s="166"/>
      <c r="K20" s="125">
        <v>0.17708333333333334</v>
      </c>
      <c r="L20" s="166"/>
      <c r="M20" s="125">
        <v>0.17708333333333334</v>
      </c>
      <c r="N20" s="166"/>
      <c r="O20" s="125">
        <v>0.17708333333333334</v>
      </c>
      <c r="P20" s="166"/>
      <c r="R20" s="125">
        <v>0.17708333333333334</v>
      </c>
      <c r="S20" s="166">
        <v>0.460872</v>
      </c>
      <c r="T20" s="125">
        <v>0.17708333333333334</v>
      </c>
      <c r="U20" s="166">
        <v>0.58431500000000003</v>
      </c>
      <c r="V20" s="125">
        <v>0.17708333333333334</v>
      </c>
      <c r="W20" s="166">
        <v>0.71119600000000005</v>
      </c>
      <c r="Y20" s="125">
        <v>0.17708333333333334</v>
      </c>
      <c r="Z20" s="166"/>
      <c r="AA20" s="125">
        <v>0.17708333333333334</v>
      </c>
      <c r="AB20" s="166"/>
      <c r="AC20" s="125">
        <v>0.17708333333333334</v>
      </c>
      <c r="AD20" s="166"/>
      <c r="AF20" s="125">
        <v>0.17708333333333334</v>
      </c>
      <c r="AG20" s="166">
        <v>1.40652</v>
      </c>
      <c r="AH20" s="125">
        <v>0.17708333333333334</v>
      </c>
      <c r="AI20" s="208">
        <v>2.31399</v>
      </c>
      <c r="AJ20" s="125">
        <v>0.17708333333333334</v>
      </c>
      <c r="AK20" s="166">
        <v>3.0583800000000001</v>
      </c>
      <c r="AL20" s="208"/>
      <c r="AM20" s="125">
        <v>0.17708333333333334</v>
      </c>
      <c r="AN20" s="166">
        <v>0.59403099999999998</v>
      </c>
      <c r="AO20" s="125">
        <v>0.17708333333333334</v>
      </c>
      <c r="AP20" s="214">
        <v>1.1988399999999999</v>
      </c>
      <c r="AQ20" s="125">
        <v>0.17708333333333334</v>
      </c>
      <c r="AR20" s="166">
        <v>0.99060599999999999</v>
      </c>
      <c r="AS20" s="214"/>
      <c r="AT20" s="125">
        <v>0.17708333333333334</v>
      </c>
      <c r="AU20" s="21"/>
      <c r="AW20" s="125">
        <v>0.17708333333333334</v>
      </c>
      <c r="AX20" s="21"/>
    </row>
    <row r="21" spans="1:50" x14ac:dyDescent="0.3">
      <c r="A21" s="123">
        <v>0.10416666666666667</v>
      </c>
      <c r="B21" s="133">
        <f t="shared" si="0"/>
        <v>0</v>
      </c>
      <c r="D21" s="125">
        <v>0.1875</v>
      </c>
      <c r="E21" s="166"/>
      <c r="F21" s="125">
        <v>0.1875</v>
      </c>
      <c r="G21" s="166"/>
      <c r="H21" s="125">
        <v>0.1875</v>
      </c>
      <c r="I21" s="166"/>
      <c r="K21" s="125">
        <v>0.1875</v>
      </c>
      <c r="L21" s="166"/>
      <c r="M21" s="125">
        <v>0.1875</v>
      </c>
      <c r="N21" s="166"/>
      <c r="O21" s="125">
        <v>0.1875</v>
      </c>
      <c r="P21" s="166"/>
      <c r="R21" s="125">
        <v>0.1875</v>
      </c>
      <c r="S21" s="166">
        <v>0.460872</v>
      </c>
      <c r="T21" s="125">
        <v>0.1875</v>
      </c>
      <c r="U21" s="166">
        <v>0.58431500000000003</v>
      </c>
      <c r="V21" s="125">
        <v>0.1875</v>
      </c>
      <c r="W21" s="166">
        <v>0.71119600000000005</v>
      </c>
      <c r="Y21" s="125">
        <v>0.1875</v>
      </c>
      <c r="Z21" s="166"/>
      <c r="AA21" s="125">
        <v>0.1875</v>
      </c>
      <c r="AB21" s="166"/>
      <c r="AC21" s="125">
        <v>0.1875</v>
      </c>
      <c r="AD21" s="166"/>
      <c r="AF21" s="125">
        <v>0.1875</v>
      </c>
      <c r="AG21" s="166">
        <v>1.40652</v>
      </c>
      <c r="AH21" s="125">
        <v>0.1875</v>
      </c>
      <c r="AI21" s="208">
        <v>2.31399</v>
      </c>
      <c r="AJ21" s="125">
        <v>0.1875</v>
      </c>
      <c r="AK21" s="166">
        <v>3.0583800000000001</v>
      </c>
      <c r="AL21" s="208"/>
      <c r="AM21" s="125">
        <v>0.1875</v>
      </c>
      <c r="AN21" s="166">
        <v>0.59403099999999998</v>
      </c>
      <c r="AO21" s="125">
        <v>0.1875</v>
      </c>
      <c r="AP21" s="214">
        <v>1.1988399999999999</v>
      </c>
      <c r="AQ21" s="125">
        <v>0.1875</v>
      </c>
      <c r="AR21" s="166">
        <v>0.99060599999999999</v>
      </c>
      <c r="AS21" s="214"/>
      <c r="AT21" s="125">
        <v>0.1875</v>
      </c>
      <c r="AU21" s="21"/>
      <c r="AW21" s="125">
        <v>0.1875</v>
      </c>
      <c r="AX21" s="21"/>
    </row>
    <row r="22" spans="1:50" x14ac:dyDescent="0.3">
      <c r="A22" s="123">
        <v>0.11458333333333333</v>
      </c>
      <c r="B22" s="133">
        <f t="shared" si="0"/>
        <v>0</v>
      </c>
      <c r="D22" s="125">
        <v>0.19791666666666666</v>
      </c>
      <c r="E22" s="166"/>
      <c r="F22" s="125">
        <v>0.19791666666666666</v>
      </c>
      <c r="G22" s="166"/>
      <c r="H22" s="125">
        <v>0.19791666666666666</v>
      </c>
      <c r="I22" s="166"/>
      <c r="K22" s="125">
        <v>0.19791666666666666</v>
      </c>
      <c r="L22" s="166"/>
      <c r="M22" s="125">
        <v>0.19791666666666666</v>
      </c>
      <c r="N22" s="166"/>
      <c r="O22" s="125">
        <v>0.19791666666666666</v>
      </c>
      <c r="P22" s="166"/>
      <c r="R22" s="125">
        <v>0.19791666666666666</v>
      </c>
      <c r="S22" s="166">
        <v>0.460872</v>
      </c>
      <c r="T22" s="125">
        <v>0.19791666666666666</v>
      </c>
      <c r="U22" s="166">
        <v>0.58431500000000003</v>
      </c>
      <c r="V22" s="125">
        <v>0.19791666666666666</v>
      </c>
      <c r="W22" s="166">
        <v>0.71119600000000005</v>
      </c>
      <c r="Y22" s="125">
        <v>0.19791666666666666</v>
      </c>
      <c r="Z22" s="166"/>
      <c r="AA22" s="125">
        <v>0.19791666666666666</v>
      </c>
      <c r="AB22" s="166"/>
      <c r="AC22" s="125">
        <v>0.19791666666666666</v>
      </c>
      <c r="AD22" s="166"/>
      <c r="AF22" s="125">
        <v>0.19791666666666666</v>
      </c>
      <c r="AG22" s="166">
        <v>1.40652</v>
      </c>
      <c r="AH22" s="125">
        <v>0.19791666666666666</v>
      </c>
      <c r="AI22" s="208">
        <v>2.31399</v>
      </c>
      <c r="AJ22" s="125">
        <v>0.19791666666666666</v>
      </c>
      <c r="AK22" s="166">
        <v>3.0583800000000001</v>
      </c>
      <c r="AL22" s="208"/>
      <c r="AM22" s="125">
        <v>0.19791666666666666</v>
      </c>
      <c r="AN22" s="166">
        <v>0.59403099999999998</v>
      </c>
      <c r="AO22" s="125">
        <v>0.19791666666666666</v>
      </c>
      <c r="AP22" s="214">
        <v>1.1988399999999999</v>
      </c>
      <c r="AQ22" s="125">
        <v>0.19791666666666666</v>
      </c>
      <c r="AR22" s="166">
        <v>0.99060599999999999</v>
      </c>
      <c r="AS22" s="214"/>
      <c r="AT22" s="125">
        <v>0.19791666666666666</v>
      </c>
      <c r="AU22" s="21"/>
      <c r="AW22" s="125">
        <v>0.19791666666666666</v>
      </c>
      <c r="AX22" s="21"/>
    </row>
    <row r="23" spans="1:50" x14ac:dyDescent="0.3">
      <c r="A23" s="123">
        <v>0.125</v>
      </c>
      <c r="B23" s="133">
        <f t="shared" si="0"/>
        <v>0</v>
      </c>
      <c r="D23" s="125">
        <v>0.20833333333333334</v>
      </c>
      <c r="E23" s="166"/>
      <c r="F23" s="125">
        <v>0.20833333333333334</v>
      </c>
      <c r="G23" s="166"/>
      <c r="H23" s="125">
        <v>0.20833333333333334</v>
      </c>
      <c r="I23" s="166"/>
      <c r="K23" s="125">
        <v>0.20833333333333334</v>
      </c>
      <c r="L23" s="166"/>
      <c r="M23" s="125">
        <v>0.20833333333333334</v>
      </c>
      <c r="N23" s="166"/>
      <c r="O23" s="125">
        <v>0.20833333333333334</v>
      </c>
      <c r="P23" s="166"/>
      <c r="R23" s="125">
        <v>0.20833333333333334</v>
      </c>
      <c r="S23" s="166">
        <v>0.460872</v>
      </c>
      <c r="T23" s="125">
        <v>0.20833333333333334</v>
      </c>
      <c r="U23" s="166">
        <v>0.58431500000000003</v>
      </c>
      <c r="V23" s="125">
        <v>0.20833333333333334</v>
      </c>
      <c r="W23" s="166">
        <v>0.71119600000000005</v>
      </c>
      <c r="Y23" s="125">
        <v>0.20833333333333334</v>
      </c>
      <c r="Z23" s="166"/>
      <c r="AA23" s="125">
        <v>0.20833333333333334</v>
      </c>
      <c r="AB23" s="166"/>
      <c r="AC23" s="125">
        <v>0.20833333333333334</v>
      </c>
      <c r="AD23" s="166"/>
      <c r="AF23" s="125">
        <v>0.20833333333333334</v>
      </c>
      <c r="AG23" s="166">
        <v>1.40652</v>
      </c>
      <c r="AH23" s="125">
        <v>0.20833333333333334</v>
      </c>
      <c r="AI23" s="208">
        <v>2.31399</v>
      </c>
      <c r="AJ23" s="125">
        <v>0.20833333333333334</v>
      </c>
      <c r="AK23" s="166">
        <v>3.0583800000000001</v>
      </c>
      <c r="AL23" s="208"/>
      <c r="AM23" s="125">
        <v>0.20833333333333334</v>
      </c>
      <c r="AN23" s="166">
        <v>0.59403099999999998</v>
      </c>
      <c r="AO23" s="125">
        <v>0.20833333333333334</v>
      </c>
      <c r="AP23" s="214">
        <v>1.1988399999999999</v>
      </c>
      <c r="AQ23" s="125">
        <v>0.20833333333333334</v>
      </c>
      <c r="AR23" s="166">
        <v>0.99060599999999999</v>
      </c>
      <c r="AS23" s="214"/>
      <c r="AT23" s="125">
        <v>0.20833333333333334</v>
      </c>
      <c r="AU23" s="21"/>
      <c r="AW23" s="125">
        <v>0.20833333333333334</v>
      </c>
      <c r="AX23" s="21"/>
    </row>
    <row r="24" spans="1:50" x14ac:dyDescent="0.3">
      <c r="A24" s="123">
        <v>0.13541666666666666</v>
      </c>
      <c r="B24" s="133">
        <f t="shared" si="0"/>
        <v>0</v>
      </c>
      <c r="D24" s="125">
        <v>0.21875</v>
      </c>
      <c r="E24" s="166"/>
      <c r="F24" s="125">
        <v>0.21875</v>
      </c>
      <c r="G24" s="166"/>
      <c r="H24" s="125">
        <v>0.21875</v>
      </c>
      <c r="I24" s="166"/>
      <c r="K24" s="125">
        <v>0.21875</v>
      </c>
      <c r="L24" s="166"/>
      <c r="M24" s="125">
        <v>0.21875</v>
      </c>
      <c r="N24" s="166"/>
      <c r="O24" s="125">
        <v>0.21875</v>
      </c>
      <c r="P24" s="166"/>
      <c r="R24" s="125">
        <v>0.21875</v>
      </c>
      <c r="S24" s="166">
        <v>0.74360099999999996</v>
      </c>
      <c r="T24" s="125">
        <v>0.21875</v>
      </c>
      <c r="U24" s="166">
        <v>0.65031600000000001</v>
      </c>
      <c r="V24" s="125">
        <v>0.21875</v>
      </c>
      <c r="W24" s="166">
        <v>0.797373</v>
      </c>
      <c r="Y24" s="125">
        <v>0.21875</v>
      </c>
      <c r="Z24" s="166"/>
      <c r="AA24" s="125">
        <v>0.21875</v>
      </c>
      <c r="AB24" s="166"/>
      <c r="AC24" s="125">
        <v>0.21875</v>
      </c>
      <c r="AD24" s="166"/>
      <c r="AF24" s="125">
        <v>0.21875</v>
      </c>
      <c r="AG24" s="166">
        <v>1.4524300000000001</v>
      </c>
      <c r="AH24" s="125">
        <v>0.21875</v>
      </c>
      <c r="AI24" s="208">
        <v>2.38714</v>
      </c>
      <c r="AJ24" s="125">
        <v>0.21875</v>
      </c>
      <c r="AK24" s="166">
        <v>3.1527099999999999</v>
      </c>
      <c r="AL24" s="208"/>
      <c r="AM24" s="125">
        <v>0.21875</v>
      </c>
      <c r="AN24" s="166">
        <v>0.61527200000000004</v>
      </c>
      <c r="AO24" s="125">
        <v>0.21875</v>
      </c>
      <c r="AP24" s="214">
        <v>0.84570100000000004</v>
      </c>
      <c r="AQ24" s="125">
        <v>0.21875</v>
      </c>
      <c r="AR24" s="166">
        <v>1.04125</v>
      </c>
      <c r="AS24" s="214"/>
      <c r="AT24" s="125">
        <v>0.21875</v>
      </c>
      <c r="AU24" s="21"/>
      <c r="AW24" s="125">
        <v>0.21875</v>
      </c>
      <c r="AX24" s="21"/>
    </row>
    <row r="25" spans="1:50" x14ac:dyDescent="0.3">
      <c r="A25" s="123">
        <v>0.14583333333333334</v>
      </c>
      <c r="B25" s="133">
        <f t="shared" si="0"/>
        <v>0</v>
      </c>
      <c r="D25" s="125">
        <v>0.22916666666666666</v>
      </c>
      <c r="E25" s="166"/>
      <c r="F25" s="125">
        <v>0.22916666666666666</v>
      </c>
      <c r="G25" s="166"/>
      <c r="H25" s="125">
        <v>0.22916666666666666</v>
      </c>
      <c r="I25" s="166"/>
      <c r="K25" s="125">
        <v>0.22916666666666666</v>
      </c>
      <c r="L25" s="166"/>
      <c r="M25" s="125">
        <v>0.22916666666666666</v>
      </c>
      <c r="N25" s="166"/>
      <c r="O25" s="125">
        <v>0.22916666666666666</v>
      </c>
      <c r="P25" s="166"/>
      <c r="R25" s="125">
        <v>0.22916666666666666</v>
      </c>
      <c r="S25" s="166">
        <v>0.74360099999999996</v>
      </c>
      <c r="T25" s="125">
        <v>0.22916666666666666</v>
      </c>
      <c r="U25" s="166">
        <v>0.65031600000000001</v>
      </c>
      <c r="V25" s="125">
        <v>0.22916666666666666</v>
      </c>
      <c r="W25" s="166">
        <v>0.797373</v>
      </c>
      <c r="Y25" s="125">
        <v>0.22916666666666666</v>
      </c>
      <c r="Z25" s="166"/>
      <c r="AA25" s="125">
        <v>0.22916666666666666</v>
      </c>
      <c r="AB25" s="166"/>
      <c r="AC25" s="125">
        <v>0.22916666666666666</v>
      </c>
      <c r="AD25" s="166"/>
      <c r="AF25" s="125">
        <v>0.22916666666666666</v>
      </c>
      <c r="AG25" s="166">
        <v>1.4524300000000001</v>
      </c>
      <c r="AH25" s="125">
        <v>0.22916666666666666</v>
      </c>
      <c r="AI25" s="208">
        <v>2.38714</v>
      </c>
      <c r="AJ25" s="125">
        <v>0.22916666666666666</v>
      </c>
      <c r="AK25" s="166">
        <v>3.1527099999999999</v>
      </c>
      <c r="AL25" s="208"/>
      <c r="AM25" s="125">
        <v>0.22916666666666666</v>
      </c>
      <c r="AN25" s="166">
        <v>0.61527200000000004</v>
      </c>
      <c r="AO25" s="125">
        <v>0.22916666666666666</v>
      </c>
      <c r="AP25" s="214">
        <v>0.84570100000000004</v>
      </c>
      <c r="AQ25" s="125">
        <v>0.22916666666666666</v>
      </c>
      <c r="AR25" s="166">
        <v>1.04125</v>
      </c>
      <c r="AS25" s="214"/>
      <c r="AT25" s="125">
        <v>0.22916666666666666</v>
      </c>
      <c r="AU25" s="21"/>
      <c r="AW25" s="125">
        <v>0.22916666666666666</v>
      </c>
      <c r="AX25" s="21"/>
    </row>
    <row r="26" spans="1:50" x14ac:dyDescent="0.3">
      <c r="A26" s="123">
        <v>0.15625</v>
      </c>
      <c r="B26" s="133">
        <f t="shared" si="0"/>
        <v>0</v>
      </c>
      <c r="D26" s="125">
        <v>0.23958333333333334</v>
      </c>
      <c r="E26" s="166"/>
      <c r="F26" s="125">
        <v>0.23958333333333334</v>
      </c>
      <c r="G26" s="166"/>
      <c r="H26" s="125">
        <v>0.23958333333333334</v>
      </c>
      <c r="I26" s="166"/>
      <c r="K26" s="125">
        <v>0.23958333333333334</v>
      </c>
      <c r="L26" s="166"/>
      <c r="M26" s="125">
        <v>0.23958333333333334</v>
      </c>
      <c r="N26" s="166"/>
      <c r="O26" s="125">
        <v>0.23958333333333334</v>
      </c>
      <c r="P26" s="166"/>
      <c r="R26" s="125">
        <v>0.23958333333333334</v>
      </c>
      <c r="S26" s="166">
        <v>0.74360099999999996</v>
      </c>
      <c r="T26" s="125">
        <v>0.23958333333333334</v>
      </c>
      <c r="U26" s="166">
        <v>0.65031600000000001</v>
      </c>
      <c r="V26" s="125">
        <v>0.23958333333333334</v>
      </c>
      <c r="W26" s="166">
        <v>0.797373</v>
      </c>
      <c r="Y26" s="125">
        <v>0.23958333333333334</v>
      </c>
      <c r="Z26" s="166"/>
      <c r="AA26" s="125">
        <v>0.23958333333333334</v>
      </c>
      <c r="AB26" s="166"/>
      <c r="AC26" s="125">
        <v>0.23958333333333334</v>
      </c>
      <c r="AD26" s="166"/>
      <c r="AF26" s="125">
        <v>0.23958333333333334</v>
      </c>
      <c r="AG26" s="166">
        <v>1.4524300000000001</v>
      </c>
      <c r="AH26" s="125">
        <v>0.23958333333333334</v>
      </c>
      <c r="AI26" s="208">
        <v>2.38714</v>
      </c>
      <c r="AJ26" s="125">
        <v>0.23958333333333334</v>
      </c>
      <c r="AK26" s="166">
        <v>3.1527099999999999</v>
      </c>
      <c r="AL26" s="208"/>
      <c r="AM26" s="125">
        <v>0.23958333333333334</v>
      </c>
      <c r="AN26" s="166">
        <v>0.61527200000000004</v>
      </c>
      <c r="AO26" s="125">
        <v>0.23958333333333334</v>
      </c>
      <c r="AP26" s="214">
        <v>0.84570100000000004</v>
      </c>
      <c r="AQ26" s="125">
        <v>0.23958333333333334</v>
      </c>
      <c r="AR26" s="166">
        <v>1.04125</v>
      </c>
      <c r="AS26" s="214"/>
      <c r="AT26" s="125">
        <v>0.23958333333333334</v>
      </c>
      <c r="AU26" s="21"/>
      <c r="AW26" s="125">
        <v>0.23958333333333334</v>
      </c>
      <c r="AX26" s="21"/>
    </row>
    <row r="27" spans="1:50" x14ac:dyDescent="0.3">
      <c r="A27" s="123">
        <v>0.16666666666666666</v>
      </c>
      <c r="B27" s="133">
        <f t="shared" si="0"/>
        <v>0</v>
      </c>
      <c r="D27" s="125">
        <v>0.25</v>
      </c>
      <c r="E27" s="166"/>
      <c r="F27" s="125">
        <v>0.25</v>
      </c>
      <c r="G27" s="166"/>
      <c r="H27" s="125">
        <v>0.25</v>
      </c>
      <c r="I27" s="166"/>
      <c r="K27" s="125">
        <v>0.25</v>
      </c>
      <c r="L27" s="166"/>
      <c r="M27" s="125">
        <v>0.25</v>
      </c>
      <c r="N27" s="166"/>
      <c r="O27" s="125">
        <v>0.25</v>
      </c>
      <c r="P27" s="166"/>
      <c r="R27" s="125">
        <v>0.25</v>
      </c>
      <c r="S27" s="166">
        <v>0.74360099999999996</v>
      </c>
      <c r="T27" s="125">
        <v>0.25</v>
      </c>
      <c r="U27" s="166">
        <v>0.65031600000000001</v>
      </c>
      <c r="V27" s="125">
        <v>0.25</v>
      </c>
      <c r="W27" s="166">
        <v>0.797373</v>
      </c>
      <c r="Y27" s="125">
        <v>0.25</v>
      </c>
      <c r="Z27" s="166"/>
      <c r="AA27" s="125">
        <v>0.25</v>
      </c>
      <c r="AB27" s="166"/>
      <c r="AC27" s="125">
        <v>0.25</v>
      </c>
      <c r="AD27" s="166"/>
      <c r="AF27" s="125">
        <v>0.25</v>
      </c>
      <c r="AG27" s="166">
        <v>1.4524300000000001</v>
      </c>
      <c r="AH27" s="125">
        <v>0.25</v>
      </c>
      <c r="AI27" s="208">
        <v>2.38714</v>
      </c>
      <c r="AJ27" s="125">
        <v>0.25</v>
      </c>
      <c r="AK27" s="166">
        <v>3.1527099999999999</v>
      </c>
      <c r="AL27" s="208"/>
      <c r="AM27" s="125">
        <v>0.25</v>
      </c>
      <c r="AN27" s="166">
        <v>0.61527200000000004</v>
      </c>
      <c r="AO27" s="125">
        <v>0.25</v>
      </c>
      <c r="AP27" s="214">
        <v>0.84570100000000004</v>
      </c>
      <c r="AQ27" s="125">
        <v>0.25</v>
      </c>
      <c r="AR27" s="166">
        <v>1.04125</v>
      </c>
      <c r="AS27" s="214"/>
      <c r="AT27" s="125">
        <v>0.25</v>
      </c>
      <c r="AU27" s="21"/>
      <c r="AW27" s="125">
        <v>0.25</v>
      </c>
      <c r="AX27" s="21"/>
    </row>
    <row r="28" spans="1:50" x14ac:dyDescent="0.3">
      <c r="A28" s="123">
        <v>0.17708333333333334</v>
      </c>
      <c r="B28" s="133">
        <f t="shared" si="0"/>
        <v>0</v>
      </c>
      <c r="D28" s="125">
        <v>0.26041666666666669</v>
      </c>
      <c r="E28" s="166"/>
      <c r="F28" s="125">
        <v>0.26041666666666669</v>
      </c>
      <c r="G28" s="166"/>
      <c r="H28" s="125">
        <v>0.26041666666666669</v>
      </c>
      <c r="I28" s="166"/>
      <c r="K28" s="125">
        <v>0.26041666666666669</v>
      </c>
      <c r="L28" s="166"/>
      <c r="M28" s="125">
        <v>0.26041666666666669</v>
      </c>
      <c r="N28" s="166"/>
      <c r="O28" s="125">
        <v>0.26041666666666669</v>
      </c>
      <c r="P28" s="166"/>
      <c r="R28" s="125">
        <v>0.26041666666666669</v>
      </c>
      <c r="S28" s="166">
        <v>0.67935699999999999</v>
      </c>
      <c r="T28" s="125">
        <v>0.26041666666666669</v>
      </c>
      <c r="U28" s="166">
        <v>0.913771</v>
      </c>
      <c r="V28" s="125">
        <v>0.26041666666666669</v>
      </c>
      <c r="W28" s="166">
        <v>1.5891999999999999</v>
      </c>
      <c r="Y28" s="125">
        <v>0.26041666666666669</v>
      </c>
      <c r="Z28" s="166"/>
      <c r="AA28" s="125">
        <v>0.26041666666666669</v>
      </c>
      <c r="AB28" s="166"/>
      <c r="AC28" s="125">
        <v>0.26041666666666669</v>
      </c>
      <c r="AD28" s="166"/>
      <c r="AF28" s="125">
        <v>0.26041666666666669</v>
      </c>
      <c r="AG28" s="166">
        <v>1.9528099999999999</v>
      </c>
      <c r="AH28" s="125">
        <v>0.26041666666666669</v>
      </c>
      <c r="AI28" s="208">
        <v>3.0940099999999999</v>
      </c>
      <c r="AJ28" s="125">
        <v>0.26041666666666669</v>
      </c>
      <c r="AK28" s="166">
        <v>3.9937499999999999</v>
      </c>
      <c r="AM28" s="125">
        <v>0.26041666666666669</v>
      </c>
      <c r="AN28" s="166">
        <v>2.0952500000000001</v>
      </c>
      <c r="AO28" s="125">
        <v>0.26041666666666669</v>
      </c>
      <c r="AP28" s="214">
        <v>1.0931900000000001</v>
      </c>
      <c r="AQ28" s="125">
        <v>0.26041666666666669</v>
      </c>
      <c r="AR28" s="166">
        <v>2.5879300000000001</v>
      </c>
      <c r="AT28" s="125">
        <v>0.26041666666666669</v>
      </c>
      <c r="AU28" s="21"/>
      <c r="AW28" s="125">
        <v>0.26041666666666669</v>
      </c>
      <c r="AX28" s="21"/>
    </row>
    <row r="29" spans="1:50" x14ac:dyDescent="0.3">
      <c r="A29" s="123">
        <v>0.1875</v>
      </c>
      <c r="B29" s="133">
        <f t="shared" si="0"/>
        <v>0</v>
      </c>
      <c r="D29" s="125">
        <v>0.27083333333333331</v>
      </c>
      <c r="E29" s="166"/>
      <c r="F29" s="125">
        <v>0.27083333333333331</v>
      </c>
      <c r="G29" s="166"/>
      <c r="H29" s="125">
        <v>0.27083333333333331</v>
      </c>
      <c r="I29" s="166"/>
      <c r="K29" s="125">
        <v>0.27083333333333331</v>
      </c>
      <c r="L29" s="166"/>
      <c r="M29" s="125">
        <v>0.27083333333333331</v>
      </c>
      <c r="N29" s="166"/>
      <c r="O29" s="125">
        <v>0.27083333333333331</v>
      </c>
      <c r="P29" s="166"/>
      <c r="R29" s="125">
        <v>0.27083333333333331</v>
      </c>
      <c r="S29" s="166">
        <v>0.67935699999999999</v>
      </c>
      <c r="T29" s="125">
        <v>0.27083333333333331</v>
      </c>
      <c r="U29" s="166">
        <v>0.913771</v>
      </c>
      <c r="V29" s="125">
        <v>0.27083333333333331</v>
      </c>
      <c r="W29" s="166">
        <v>1.5891999999999999</v>
      </c>
      <c r="Y29" s="125">
        <v>0.27083333333333331</v>
      </c>
      <c r="Z29" s="166"/>
      <c r="AA29" s="125">
        <v>0.27083333333333331</v>
      </c>
      <c r="AB29" s="166"/>
      <c r="AC29" s="125">
        <v>0.27083333333333331</v>
      </c>
      <c r="AD29" s="166"/>
      <c r="AF29" s="125">
        <v>0.27083333333333331</v>
      </c>
      <c r="AG29" s="166">
        <v>1.9528099999999999</v>
      </c>
      <c r="AH29" s="125">
        <v>0.27083333333333331</v>
      </c>
      <c r="AI29" s="208">
        <v>3.0940099999999999</v>
      </c>
      <c r="AJ29" s="125">
        <v>0.27083333333333331</v>
      </c>
      <c r="AK29" s="166">
        <v>3.9937499999999999</v>
      </c>
      <c r="AM29" s="125">
        <v>0.27083333333333331</v>
      </c>
      <c r="AN29" s="166">
        <v>2.0952500000000001</v>
      </c>
      <c r="AO29" s="125">
        <v>0.27083333333333331</v>
      </c>
      <c r="AP29" s="214">
        <v>1.0931900000000001</v>
      </c>
      <c r="AQ29" s="125">
        <v>0.27083333333333331</v>
      </c>
      <c r="AR29" s="166">
        <v>2.5879300000000001</v>
      </c>
      <c r="AT29" s="125">
        <v>0.27083333333333331</v>
      </c>
      <c r="AU29" s="21"/>
      <c r="AW29" s="125">
        <v>0.27083333333333331</v>
      </c>
      <c r="AX29" s="21"/>
    </row>
    <row r="30" spans="1:50" x14ac:dyDescent="0.3">
      <c r="A30" s="123">
        <v>0.19791666666666666</v>
      </c>
      <c r="B30" s="133">
        <f t="shared" si="0"/>
        <v>0</v>
      </c>
      <c r="D30" s="125">
        <v>0.28125</v>
      </c>
      <c r="E30" s="166"/>
      <c r="F30" s="125">
        <v>0.28125</v>
      </c>
      <c r="G30" s="166"/>
      <c r="H30" s="125">
        <v>0.28125</v>
      </c>
      <c r="I30" s="166"/>
      <c r="K30" s="125">
        <v>0.28125</v>
      </c>
      <c r="L30" s="166"/>
      <c r="M30" s="125">
        <v>0.28125</v>
      </c>
      <c r="N30" s="166"/>
      <c r="O30" s="125">
        <v>0.28125</v>
      </c>
      <c r="P30" s="166"/>
      <c r="R30" s="125">
        <v>0.28125</v>
      </c>
      <c r="S30" s="166">
        <v>0.67935699999999999</v>
      </c>
      <c r="T30" s="125">
        <v>0.28125</v>
      </c>
      <c r="U30" s="166">
        <v>0.913771</v>
      </c>
      <c r="V30" s="125">
        <v>0.28125</v>
      </c>
      <c r="W30" s="166">
        <v>1.5891999999999999</v>
      </c>
      <c r="Y30" s="125">
        <v>0.28125</v>
      </c>
      <c r="Z30" s="166"/>
      <c r="AA30" s="125">
        <v>0.28125</v>
      </c>
      <c r="AB30" s="166"/>
      <c r="AC30" s="125">
        <v>0.28125</v>
      </c>
      <c r="AD30" s="166"/>
      <c r="AF30" s="125">
        <v>0.28125</v>
      </c>
      <c r="AG30" s="166">
        <v>1.9528099999999999</v>
      </c>
      <c r="AH30" s="125">
        <v>0.28125</v>
      </c>
      <c r="AI30" s="208">
        <v>3.0940099999999999</v>
      </c>
      <c r="AJ30" s="125">
        <v>0.28125</v>
      </c>
      <c r="AK30" s="166">
        <v>3.9937499999999999</v>
      </c>
      <c r="AM30" s="125">
        <v>0.28125</v>
      </c>
      <c r="AN30" s="166">
        <v>2.0952500000000001</v>
      </c>
      <c r="AO30" s="125">
        <v>0.28125</v>
      </c>
      <c r="AP30" s="214">
        <v>1.0931900000000001</v>
      </c>
      <c r="AQ30" s="125">
        <v>0.28125</v>
      </c>
      <c r="AR30" s="166">
        <v>2.5879300000000001</v>
      </c>
      <c r="AT30" s="125">
        <v>0.28125</v>
      </c>
      <c r="AU30" s="21"/>
      <c r="AW30" s="125">
        <v>0.28125</v>
      </c>
      <c r="AX30" s="21"/>
    </row>
    <row r="31" spans="1:50" x14ac:dyDescent="0.3">
      <c r="A31" s="123">
        <v>0.20833333333333334</v>
      </c>
      <c r="B31" s="133">
        <f t="shared" si="0"/>
        <v>0</v>
      </c>
      <c r="D31" s="125">
        <v>0.29166666666666669</v>
      </c>
      <c r="E31" s="166"/>
      <c r="F31" s="125">
        <v>0.29166666666666669</v>
      </c>
      <c r="G31" s="166"/>
      <c r="H31" s="125">
        <v>0.29166666666666669</v>
      </c>
      <c r="I31" s="166"/>
      <c r="K31" s="125">
        <v>0.29166666666666669</v>
      </c>
      <c r="L31" s="166"/>
      <c r="M31" s="125">
        <v>0.29166666666666669</v>
      </c>
      <c r="N31" s="166"/>
      <c r="O31" s="125">
        <v>0.29166666666666669</v>
      </c>
      <c r="P31" s="166"/>
      <c r="R31" s="125">
        <v>0.29166666666666669</v>
      </c>
      <c r="S31" s="166">
        <v>0.67935699999999999</v>
      </c>
      <c r="T31" s="125">
        <v>0.29166666666666669</v>
      </c>
      <c r="U31" s="166">
        <v>0.913771</v>
      </c>
      <c r="V31" s="125">
        <v>0.29166666666666669</v>
      </c>
      <c r="W31" s="166">
        <v>1.5891999999999999</v>
      </c>
      <c r="Y31" s="125">
        <v>0.29166666666666669</v>
      </c>
      <c r="Z31" s="166"/>
      <c r="AA31" s="125">
        <v>0.29166666666666669</v>
      </c>
      <c r="AB31" s="166"/>
      <c r="AC31" s="125">
        <v>0.29166666666666669</v>
      </c>
      <c r="AD31" s="166"/>
      <c r="AF31" s="125">
        <v>0.29166666666666669</v>
      </c>
      <c r="AG31" s="166">
        <v>1.9528099999999999</v>
      </c>
      <c r="AH31" s="125">
        <v>0.29166666666666669</v>
      </c>
      <c r="AI31" s="208">
        <v>3.0940099999999999</v>
      </c>
      <c r="AJ31" s="125">
        <v>0.29166666666666669</v>
      </c>
      <c r="AK31" s="166">
        <v>3.9937499999999999</v>
      </c>
      <c r="AM31" s="125">
        <v>0.29166666666666669</v>
      </c>
      <c r="AN31" s="166">
        <v>2.0952500000000001</v>
      </c>
      <c r="AO31" s="125">
        <v>0.29166666666666669</v>
      </c>
      <c r="AP31" s="214">
        <v>1.0931900000000001</v>
      </c>
      <c r="AQ31" s="125">
        <v>0.29166666666666669</v>
      </c>
      <c r="AR31" s="166">
        <v>2.5879300000000001</v>
      </c>
      <c r="AT31" s="125">
        <v>0.29166666666666669</v>
      </c>
      <c r="AU31" s="21"/>
      <c r="AW31" s="125">
        <v>0.29166666666666669</v>
      </c>
      <c r="AX31" s="21"/>
    </row>
    <row r="32" spans="1:50" x14ac:dyDescent="0.3">
      <c r="A32" s="123">
        <v>0.21875</v>
      </c>
      <c r="B32" s="133">
        <f t="shared" si="0"/>
        <v>0</v>
      </c>
      <c r="D32" s="125">
        <v>0.30208333333333331</v>
      </c>
      <c r="E32" s="166"/>
      <c r="F32" s="125">
        <v>0.30208333333333331</v>
      </c>
      <c r="G32" s="166"/>
      <c r="H32" s="125">
        <v>0.30208333333333331</v>
      </c>
      <c r="I32" s="166"/>
      <c r="K32" s="125">
        <v>0.30208333333333331</v>
      </c>
      <c r="L32" s="166"/>
      <c r="M32" s="125">
        <v>0.30208333333333331</v>
      </c>
      <c r="N32" s="166"/>
      <c r="O32" s="125">
        <v>0.30208333333333331</v>
      </c>
      <c r="P32" s="166"/>
      <c r="R32" s="125">
        <v>0.30208333333333331</v>
      </c>
      <c r="S32" s="166">
        <v>1.5494699999999999</v>
      </c>
      <c r="T32" s="125">
        <v>0.30208333333333331</v>
      </c>
      <c r="U32" s="166">
        <v>1.1336200000000001</v>
      </c>
      <c r="V32" s="125">
        <v>0.30208333333333331</v>
      </c>
      <c r="W32" s="166">
        <v>1.88757</v>
      </c>
      <c r="Y32" s="125">
        <v>0.30208333333333331</v>
      </c>
      <c r="Z32" s="166"/>
      <c r="AA32" s="125">
        <v>0.30208333333333331</v>
      </c>
      <c r="AB32" s="166"/>
      <c r="AC32" s="125">
        <v>0.30208333333333331</v>
      </c>
      <c r="AD32" s="166"/>
      <c r="AF32" s="125">
        <v>0.30208333333333331</v>
      </c>
      <c r="AG32" s="166">
        <v>2.1158800000000002</v>
      </c>
      <c r="AH32" s="125">
        <v>0.30208333333333331</v>
      </c>
      <c r="AI32" s="208">
        <v>2.7924600000000002</v>
      </c>
      <c r="AJ32" s="125">
        <v>0.30208333333333331</v>
      </c>
      <c r="AK32" s="166">
        <v>4.2289099999999999</v>
      </c>
      <c r="AM32" s="125">
        <v>0.30208333333333331</v>
      </c>
      <c r="AN32" s="166">
        <v>0.91301900000000002</v>
      </c>
      <c r="AO32" s="125">
        <v>0.30208333333333331</v>
      </c>
      <c r="AP32" s="214">
        <v>3.64764</v>
      </c>
      <c r="AQ32" s="125">
        <v>0.30208333333333331</v>
      </c>
      <c r="AR32" s="166">
        <v>2.78904</v>
      </c>
      <c r="AT32" s="125">
        <v>0.30208333333333331</v>
      </c>
      <c r="AU32" s="21"/>
      <c r="AW32" s="125">
        <v>0.30208333333333331</v>
      </c>
      <c r="AX32" s="21"/>
    </row>
    <row r="33" spans="1:50" x14ac:dyDescent="0.3">
      <c r="A33" s="123">
        <v>0.22916666666666666</v>
      </c>
      <c r="B33" s="133">
        <f t="shared" si="0"/>
        <v>0</v>
      </c>
      <c r="D33" s="125">
        <v>0.3125</v>
      </c>
      <c r="E33" s="166"/>
      <c r="F33" s="125">
        <v>0.3125</v>
      </c>
      <c r="G33" s="166"/>
      <c r="H33" s="125">
        <v>0.3125</v>
      </c>
      <c r="I33" s="166"/>
      <c r="K33" s="125">
        <v>0.3125</v>
      </c>
      <c r="L33" s="166"/>
      <c r="M33" s="125">
        <v>0.3125</v>
      </c>
      <c r="N33" s="166"/>
      <c r="O33" s="125">
        <v>0.3125</v>
      </c>
      <c r="P33" s="166"/>
      <c r="R33" s="125">
        <v>0.3125</v>
      </c>
      <c r="S33" s="166">
        <v>1.5494699999999999</v>
      </c>
      <c r="T33" s="125">
        <v>0.3125</v>
      </c>
      <c r="U33" s="166">
        <v>1.1336200000000001</v>
      </c>
      <c r="V33" s="125">
        <v>0.3125</v>
      </c>
      <c r="W33" s="166">
        <v>1.88757</v>
      </c>
      <c r="Y33" s="125">
        <v>0.3125</v>
      </c>
      <c r="Z33" s="166"/>
      <c r="AA33" s="125">
        <v>0.3125</v>
      </c>
      <c r="AB33" s="166"/>
      <c r="AC33" s="125">
        <v>0.3125</v>
      </c>
      <c r="AD33" s="166"/>
      <c r="AF33" s="125">
        <v>0.3125</v>
      </c>
      <c r="AG33" s="166">
        <v>2.1158800000000002</v>
      </c>
      <c r="AH33" s="125">
        <v>0.3125</v>
      </c>
      <c r="AI33" s="208">
        <v>2.7924600000000002</v>
      </c>
      <c r="AJ33" s="125">
        <v>0.3125</v>
      </c>
      <c r="AK33" s="166">
        <v>4.2289099999999999</v>
      </c>
      <c r="AM33" s="125">
        <v>0.3125</v>
      </c>
      <c r="AN33" s="166">
        <v>0.91301900000000002</v>
      </c>
      <c r="AO33" s="125">
        <v>0.3125</v>
      </c>
      <c r="AP33" s="214">
        <v>3.64764</v>
      </c>
      <c r="AQ33" s="125">
        <v>0.3125</v>
      </c>
      <c r="AR33" s="166">
        <v>2.78904</v>
      </c>
      <c r="AT33" s="125">
        <v>0.3125</v>
      </c>
      <c r="AU33" s="21"/>
      <c r="AW33" s="125">
        <v>0.3125</v>
      </c>
      <c r="AX33" s="21"/>
    </row>
    <row r="34" spans="1:50" x14ac:dyDescent="0.3">
      <c r="A34" s="123">
        <v>0.23958333333333334</v>
      </c>
      <c r="B34" s="133">
        <f t="shared" si="0"/>
        <v>0</v>
      </c>
      <c r="D34" s="125">
        <v>0.32291666666666669</v>
      </c>
      <c r="E34" s="166"/>
      <c r="F34" s="125">
        <v>0.32291666666666669</v>
      </c>
      <c r="G34" s="166"/>
      <c r="H34" s="125">
        <v>0.32291666666666669</v>
      </c>
      <c r="I34" s="166"/>
      <c r="K34" s="125">
        <v>0.32291666666666669</v>
      </c>
      <c r="L34" s="166"/>
      <c r="M34" s="125">
        <v>0.32291666666666669</v>
      </c>
      <c r="N34" s="166"/>
      <c r="O34" s="125">
        <v>0.32291666666666669</v>
      </c>
      <c r="P34" s="166"/>
      <c r="R34" s="125">
        <v>0.32291666666666669</v>
      </c>
      <c r="S34" s="166">
        <v>1.5494699999999999</v>
      </c>
      <c r="T34" s="125">
        <v>0.32291666666666669</v>
      </c>
      <c r="U34" s="166">
        <v>1.1336200000000001</v>
      </c>
      <c r="V34" s="125">
        <v>0.32291666666666669</v>
      </c>
      <c r="W34" s="166">
        <v>1.88757</v>
      </c>
      <c r="Y34" s="125">
        <v>0.32291666666666669</v>
      </c>
      <c r="Z34" s="166"/>
      <c r="AA34" s="125">
        <v>0.32291666666666669</v>
      </c>
      <c r="AB34" s="166"/>
      <c r="AC34" s="125">
        <v>0.32291666666666669</v>
      </c>
      <c r="AD34" s="166"/>
      <c r="AF34" s="125">
        <v>0.32291666666666669</v>
      </c>
      <c r="AG34" s="166">
        <v>2.1158800000000002</v>
      </c>
      <c r="AH34" s="125">
        <v>0.32291666666666669</v>
      </c>
      <c r="AI34" s="208">
        <v>2.7924600000000002</v>
      </c>
      <c r="AJ34" s="125">
        <v>0.32291666666666669</v>
      </c>
      <c r="AK34" s="166">
        <v>4.2289099999999999</v>
      </c>
      <c r="AM34" s="125">
        <v>0.32291666666666669</v>
      </c>
      <c r="AN34" s="166">
        <v>0.91301900000000002</v>
      </c>
      <c r="AO34" s="125">
        <v>0.32291666666666669</v>
      </c>
      <c r="AP34" s="214">
        <v>3.64764</v>
      </c>
      <c r="AQ34" s="125">
        <v>0.32291666666666669</v>
      </c>
      <c r="AR34" s="166">
        <v>2.78904</v>
      </c>
      <c r="AT34" s="125">
        <v>0.32291666666666669</v>
      </c>
      <c r="AU34" s="21"/>
      <c r="AW34" s="125">
        <v>0.32291666666666669</v>
      </c>
      <c r="AX34" s="21"/>
    </row>
    <row r="35" spans="1:50" x14ac:dyDescent="0.3">
      <c r="A35" s="123">
        <v>0.25</v>
      </c>
      <c r="B35" s="133">
        <f t="shared" si="0"/>
        <v>0</v>
      </c>
      <c r="D35" s="125">
        <v>0.33333333333333331</v>
      </c>
      <c r="E35" s="166"/>
      <c r="F35" s="125">
        <v>0.33333333333333331</v>
      </c>
      <c r="G35" s="166"/>
      <c r="H35" s="125">
        <v>0.33333333333333331</v>
      </c>
      <c r="I35" s="166"/>
      <c r="K35" s="125">
        <v>0.33333333333333331</v>
      </c>
      <c r="L35" s="166"/>
      <c r="M35" s="125">
        <v>0.33333333333333331</v>
      </c>
      <c r="N35" s="166"/>
      <c r="O35" s="125">
        <v>0.33333333333333331</v>
      </c>
      <c r="P35" s="166"/>
      <c r="R35" s="125">
        <v>0.33333333333333331</v>
      </c>
      <c r="S35" s="166">
        <v>1.5494699999999999</v>
      </c>
      <c r="T35" s="125">
        <v>0.33333333333333331</v>
      </c>
      <c r="U35" s="166">
        <v>1.1336200000000001</v>
      </c>
      <c r="V35" s="125">
        <v>0.33333333333333331</v>
      </c>
      <c r="W35" s="166">
        <v>1.88757</v>
      </c>
      <c r="Y35" s="125">
        <v>0.33333333333333331</v>
      </c>
      <c r="Z35" s="166"/>
      <c r="AA35" s="125">
        <v>0.33333333333333331</v>
      </c>
      <c r="AB35" s="166"/>
      <c r="AC35" s="125">
        <v>0.33333333333333331</v>
      </c>
      <c r="AD35" s="166"/>
      <c r="AF35" s="125">
        <v>0.33333333333333331</v>
      </c>
      <c r="AG35" s="166">
        <v>2.1158800000000002</v>
      </c>
      <c r="AH35" s="125">
        <v>0.33333333333333331</v>
      </c>
      <c r="AI35" s="208">
        <v>2.7924600000000002</v>
      </c>
      <c r="AJ35" s="125">
        <v>0.33333333333333331</v>
      </c>
      <c r="AK35" s="166">
        <v>4.2289099999999999</v>
      </c>
      <c r="AM35" s="125">
        <v>0.33333333333333331</v>
      </c>
      <c r="AN35" s="166">
        <v>0.91301900000000002</v>
      </c>
      <c r="AO35" s="125">
        <v>0.33333333333333331</v>
      </c>
      <c r="AP35" s="214">
        <v>3.64764</v>
      </c>
      <c r="AQ35" s="125">
        <v>0.33333333333333331</v>
      </c>
      <c r="AR35" s="166">
        <v>2.78904</v>
      </c>
      <c r="AT35" s="125">
        <v>0.33333333333333331</v>
      </c>
      <c r="AU35" s="21"/>
      <c r="AW35" s="125">
        <v>0.33333333333333331</v>
      </c>
      <c r="AX35" s="21"/>
    </row>
    <row r="36" spans="1:50" x14ac:dyDescent="0.3">
      <c r="A36" s="123">
        <v>0.26041666666666669</v>
      </c>
      <c r="B36" s="133">
        <f t="shared" si="0"/>
        <v>0</v>
      </c>
      <c r="D36" s="125">
        <v>0.34375</v>
      </c>
      <c r="E36" s="166"/>
      <c r="F36" s="125">
        <v>0.34375</v>
      </c>
      <c r="G36" s="166"/>
      <c r="H36" s="125">
        <v>0.34375</v>
      </c>
      <c r="I36" s="166"/>
      <c r="K36" s="125">
        <v>0.34375</v>
      </c>
      <c r="L36" s="166"/>
      <c r="M36" s="125">
        <v>0.34375</v>
      </c>
      <c r="N36" s="166"/>
      <c r="O36" s="125">
        <v>0.34375</v>
      </c>
      <c r="P36" s="166"/>
      <c r="R36" s="125">
        <v>0.34375</v>
      </c>
      <c r="S36" s="166">
        <v>1.12483</v>
      </c>
      <c r="T36" s="125">
        <v>0.34375</v>
      </c>
      <c r="U36" s="166">
        <v>1.3431500000000001</v>
      </c>
      <c r="V36" s="125">
        <v>0.34375</v>
      </c>
      <c r="W36" s="166">
        <v>1.6507099999999999</v>
      </c>
      <c r="Y36" s="125">
        <v>0.34375</v>
      </c>
      <c r="Z36" s="166"/>
      <c r="AA36" s="125">
        <v>0.34375</v>
      </c>
      <c r="AB36" s="166"/>
      <c r="AC36" s="125">
        <v>0.34375</v>
      </c>
      <c r="AD36" s="166"/>
      <c r="AF36" s="125">
        <v>0.34375</v>
      </c>
      <c r="AG36" s="166">
        <v>1.8612500000000001</v>
      </c>
      <c r="AH36" s="125">
        <v>0.34375</v>
      </c>
      <c r="AI36" s="208">
        <v>2.6188199999999999</v>
      </c>
      <c r="AJ36" s="125">
        <v>0.34375</v>
      </c>
      <c r="AK36" s="166">
        <v>3.4713099999999999</v>
      </c>
      <c r="AM36" s="125">
        <v>0.34375</v>
      </c>
      <c r="AN36" s="166">
        <v>1.11311</v>
      </c>
      <c r="AO36" s="125">
        <v>0.34375</v>
      </c>
      <c r="AP36" s="214">
        <v>1.47394</v>
      </c>
      <c r="AQ36" s="125">
        <v>0.34375</v>
      </c>
      <c r="AR36" s="166">
        <v>1.91882</v>
      </c>
      <c r="AT36" s="125">
        <v>0.34375</v>
      </c>
      <c r="AU36" s="21"/>
      <c r="AW36" s="125">
        <v>0.34375</v>
      </c>
      <c r="AX36" s="21"/>
    </row>
    <row r="37" spans="1:50" x14ac:dyDescent="0.3">
      <c r="A37" s="123">
        <v>0.27083333333333331</v>
      </c>
      <c r="B37" s="133">
        <f t="shared" si="0"/>
        <v>0</v>
      </c>
      <c r="D37" s="125">
        <v>0.35416666666666669</v>
      </c>
      <c r="E37" s="166"/>
      <c r="F37" s="125">
        <v>0.35416666666666669</v>
      </c>
      <c r="G37" s="166"/>
      <c r="H37" s="125">
        <v>0.35416666666666669</v>
      </c>
      <c r="I37" s="166"/>
      <c r="K37" s="125">
        <v>0.35416666666666669</v>
      </c>
      <c r="L37" s="166"/>
      <c r="M37" s="125">
        <v>0.35416666666666669</v>
      </c>
      <c r="N37" s="166"/>
      <c r="O37" s="125">
        <v>0.35416666666666669</v>
      </c>
      <c r="P37" s="166"/>
      <c r="R37" s="125">
        <v>0.35416666666666669</v>
      </c>
      <c r="S37" s="166">
        <v>1.12483</v>
      </c>
      <c r="T37" s="125">
        <v>0.35416666666666669</v>
      </c>
      <c r="U37" s="166">
        <v>1.3431500000000001</v>
      </c>
      <c r="V37" s="125">
        <v>0.35416666666666669</v>
      </c>
      <c r="W37" s="166">
        <v>1.6507099999999999</v>
      </c>
      <c r="Y37" s="125">
        <v>0.35416666666666669</v>
      </c>
      <c r="Z37" s="166"/>
      <c r="AA37" s="125">
        <v>0.35416666666666669</v>
      </c>
      <c r="AB37" s="166"/>
      <c r="AC37" s="125">
        <v>0.35416666666666669</v>
      </c>
      <c r="AD37" s="166"/>
      <c r="AF37" s="125">
        <v>0.35416666666666669</v>
      </c>
      <c r="AG37" s="166">
        <v>1.8612500000000001</v>
      </c>
      <c r="AH37" s="125">
        <v>0.35416666666666669</v>
      </c>
      <c r="AI37" s="208">
        <v>2.6188199999999999</v>
      </c>
      <c r="AJ37" s="125">
        <v>0.35416666666666669</v>
      </c>
      <c r="AK37" s="166">
        <v>3.4713099999999999</v>
      </c>
      <c r="AM37" s="125">
        <v>0.35416666666666669</v>
      </c>
      <c r="AN37" s="166">
        <v>1.11311</v>
      </c>
      <c r="AO37" s="125">
        <v>0.35416666666666669</v>
      </c>
      <c r="AP37" s="214">
        <v>1.47394</v>
      </c>
      <c r="AQ37" s="125">
        <v>0.35416666666666669</v>
      </c>
      <c r="AR37" s="166">
        <v>1.91882</v>
      </c>
      <c r="AT37" s="125">
        <v>0.35416666666666669</v>
      </c>
      <c r="AU37" s="21"/>
      <c r="AW37" s="125">
        <v>0.35416666666666669</v>
      </c>
      <c r="AX37" s="21"/>
    </row>
    <row r="38" spans="1:50" x14ac:dyDescent="0.3">
      <c r="A38" s="123">
        <v>0.28125</v>
      </c>
      <c r="B38" s="133">
        <f t="shared" si="0"/>
        <v>0</v>
      </c>
      <c r="D38" s="125">
        <v>0.36458333333333331</v>
      </c>
      <c r="E38" s="166"/>
      <c r="F38" s="125">
        <v>0.36458333333333331</v>
      </c>
      <c r="G38" s="166"/>
      <c r="H38" s="125">
        <v>0.36458333333333331</v>
      </c>
      <c r="I38" s="166"/>
      <c r="K38" s="125">
        <v>0.36458333333333331</v>
      </c>
      <c r="L38" s="166"/>
      <c r="M38" s="125">
        <v>0.36458333333333331</v>
      </c>
      <c r="N38" s="166"/>
      <c r="O38" s="125">
        <v>0.36458333333333331</v>
      </c>
      <c r="P38" s="166"/>
      <c r="R38" s="125">
        <v>0.36458333333333331</v>
      </c>
      <c r="S38" s="166">
        <v>1.12483</v>
      </c>
      <c r="T38" s="125">
        <v>0.36458333333333331</v>
      </c>
      <c r="U38" s="166">
        <v>1.3431500000000001</v>
      </c>
      <c r="V38" s="125">
        <v>0.36458333333333331</v>
      </c>
      <c r="W38" s="166">
        <v>1.6507099999999999</v>
      </c>
      <c r="Y38" s="125">
        <v>0.36458333333333331</v>
      </c>
      <c r="Z38" s="166"/>
      <c r="AA38" s="125">
        <v>0.36458333333333331</v>
      </c>
      <c r="AB38" s="166"/>
      <c r="AC38" s="125">
        <v>0.36458333333333331</v>
      </c>
      <c r="AD38" s="166"/>
      <c r="AF38" s="125">
        <v>0.36458333333333331</v>
      </c>
      <c r="AG38" s="166">
        <v>1.8612500000000001</v>
      </c>
      <c r="AH38" s="125">
        <v>0.36458333333333331</v>
      </c>
      <c r="AI38" s="208">
        <v>2.6188199999999999</v>
      </c>
      <c r="AJ38" s="125">
        <v>0.36458333333333331</v>
      </c>
      <c r="AK38" s="166">
        <v>3.4713099999999999</v>
      </c>
      <c r="AM38" s="125">
        <v>0.36458333333333331</v>
      </c>
      <c r="AN38" s="166">
        <v>1.11311</v>
      </c>
      <c r="AO38" s="125">
        <v>0.36458333333333331</v>
      </c>
      <c r="AP38" s="214">
        <v>1.47394</v>
      </c>
      <c r="AQ38" s="125">
        <v>0.36458333333333331</v>
      </c>
      <c r="AR38" s="166">
        <v>1.91882</v>
      </c>
      <c r="AT38" s="125">
        <v>0.36458333333333331</v>
      </c>
      <c r="AU38" s="21"/>
      <c r="AW38" s="125">
        <v>0.36458333333333331</v>
      </c>
      <c r="AX38" s="21"/>
    </row>
    <row r="39" spans="1:50" x14ac:dyDescent="0.3">
      <c r="A39" s="123">
        <v>0.29166666666666669</v>
      </c>
      <c r="B39" s="133">
        <f t="shared" si="0"/>
        <v>0</v>
      </c>
      <c r="D39" s="125">
        <v>0.375</v>
      </c>
      <c r="E39" s="166"/>
      <c r="F39" s="125">
        <v>0.375</v>
      </c>
      <c r="G39" s="166"/>
      <c r="H39" s="125">
        <v>0.375</v>
      </c>
      <c r="I39" s="166"/>
      <c r="K39" s="125">
        <v>0.375</v>
      </c>
      <c r="L39" s="166"/>
      <c r="M39" s="125">
        <v>0.375</v>
      </c>
      <c r="N39" s="166"/>
      <c r="O39" s="125">
        <v>0.375</v>
      </c>
      <c r="P39" s="166"/>
      <c r="R39" s="125">
        <v>0.375</v>
      </c>
      <c r="S39" s="166">
        <v>1.12483</v>
      </c>
      <c r="T39" s="125">
        <v>0.375</v>
      </c>
      <c r="U39" s="166">
        <v>1.3431500000000001</v>
      </c>
      <c r="V39" s="125">
        <v>0.375</v>
      </c>
      <c r="W39" s="166">
        <v>1.6507099999999999</v>
      </c>
      <c r="Y39" s="125">
        <v>0.375</v>
      </c>
      <c r="Z39" s="166"/>
      <c r="AA39" s="125">
        <v>0.375</v>
      </c>
      <c r="AB39" s="166"/>
      <c r="AC39" s="125">
        <v>0.375</v>
      </c>
      <c r="AD39" s="166"/>
      <c r="AF39" s="125">
        <v>0.375</v>
      </c>
      <c r="AG39" s="166">
        <v>1.8612500000000001</v>
      </c>
      <c r="AH39" s="125">
        <v>0.375</v>
      </c>
      <c r="AI39" s="208">
        <v>2.6188199999999999</v>
      </c>
      <c r="AJ39" s="125">
        <v>0.375</v>
      </c>
      <c r="AK39" s="166">
        <v>3.4713099999999999</v>
      </c>
      <c r="AM39" s="125">
        <v>0.375</v>
      </c>
      <c r="AN39" s="166">
        <v>1.11311</v>
      </c>
      <c r="AO39" s="125">
        <v>0.375</v>
      </c>
      <c r="AP39" s="214">
        <v>1.47394</v>
      </c>
      <c r="AQ39" s="125">
        <v>0.375</v>
      </c>
      <c r="AR39" s="166">
        <v>1.91882</v>
      </c>
      <c r="AT39" s="125">
        <v>0.375</v>
      </c>
      <c r="AU39" s="21"/>
      <c r="AW39" s="125">
        <v>0.375</v>
      </c>
      <c r="AX39" s="21"/>
    </row>
    <row r="40" spans="1:50" x14ac:dyDescent="0.3">
      <c r="A40" s="123">
        <v>0.30208333333333331</v>
      </c>
      <c r="B40" s="133">
        <f t="shared" si="0"/>
        <v>0</v>
      </c>
      <c r="D40" s="125">
        <v>0.38541666666666669</v>
      </c>
      <c r="E40" s="166"/>
      <c r="F40" s="125">
        <v>0.38541666666666669</v>
      </c>
      <c r="G40" s="166"/>
      <c r="H40" s="125">
        <v>0.38541666666666669</v>
      </c>
      <c r="I40" s="166"/>
      <c r="K40" s="125">
        <v>0.38541666666666669</v>
      </c>
      <c r="L40" s="166"/>
      <c r="M40" s="125">
        <v>0.38541666666666669</v>
      </c>
      <c r="N40" s="166"/>
      <c r="O40" s="125">
        <v>0.38541666666666669</v>
      </c>
      <c r="P40" s="166"/>
      <c r="R40" s="125">
        <v>0.38541666666666669</v>
      </c>
      <c r="S40" s="166">
        <v>1.56443</v>
      </c>
      <c r="T40" s="125">
        <v>0.38541666666666669</v>
      </c>
      <c r="U40" s="166">
        <v>2.02494</v>
      </c>
      <c r="V40" s="125">
        <v>0.38541666666666669</v>
      </c>
      <c r="W40" s="166">
        <v>2.0224799999999998</v>
      </c>
      <c r="Y40" s="125">
        <v>0.38541666666666669</v>
      </c>
      <c r="Z40" s="166"/>
      <c r="AA40" s="125">
        <v>0.38541666666666669</v>
      </c>
      <c r="AB40" s="166"/>
      <c r="AC40" s="125">
        <v>0.38541666666666669</v>
      </c>
      <c r="AD40" s="166"/>
      <c r="AF40" s="125">
        <v>0.38541666666666669</v>
      </c>
      <c r="AG40" s="166">
        <v>1.4702599999999999</v>
      </c>
      <c r="AH40" s="125">
        <v>0.38541666666666669</v>
      </c>
      <c r="AI40" s="208">
        <v>2.31277</v>
      </c>
      <c r="AJ40" s="125">
        <v>0.38541666666666669</v>
      </c>
      <c r="AK40" s="166">
        <v>3.6130399999999998</v>
      </c>
      <c r="AM40" s="125">
        <v>0.38541666666666669</v>
      </c>
      <c r="AN40" s="166">
        <v>1.5763400000000001</v>
      </c>
      <c r="AO40" s="125">
        <v>0.38541666666666669</v>
      </c>
      <c r="AP40" s="214">
        <v>1.7523599999999999</v>
      </c>
      <c r="AQ40" s="125">
        <v>0.38541666666666669</v>
      </c>
      <c r="AR40" s="166">
        <v>2.1760799999999998</v>
      </c>
      <c r="AT40" s="125">
        <v>0.38541666666666669</v>
      </c>
      <c r="AU40" s="21"/>
      <c r="AW40" s="125">
        <v>0.38541666666666669</v>
      </c>
      <c r="AX40" s="21"/>
    </row>
    <row r="41" spans="1:50" x14ac:dyDescent="0.3">
      <c r="A41" s="123">
        <v>0.3125</v>
      </c>
      <c r="B41" s="133">
        <f t="shared" si="0"/>
        <v>0</v>
      </c>
      <c r="D41" s="125">
        <v>0.39583333333333331</v>
      </c>
      <c r="E41" s="166"/>
      <c r="F41" s="125">
        <v>0.39583333333333331</v>
      </c>
      <c r="G41" s="166"/>
      <c r="H41" s="125">
        <v>0.39583333333333331</v>
      </c>
      <c r="I41" s="166"/>
      <c r="K41" s="125">
        <v>0.39583333333333331</v>
      </c>
      <c r="L41" s="166"/>
      <c r="M41" s="125">
        <v>0.39583333333333331</v>
      </c>
      <c r="N41" s="166"/>
      <c r="O41" s="125">
        <v>0.39583333333333331</v>
      </c>
      <c r="P41" s="166"/>
      <c r="R41" s="125">
        <v>0.39583333333333331</v>
      </c>
      <c r="S41" s="166">
        <v>1.56443</v>
      </c>
      <c r="T41" s="125">
        <v>0.39583333333333331</v>
      </c>
      <c r="U41" s="166">
        <v>2.02494</v>
      </c>
      <c r="V41" s="125">
        <v>0.39583333333333331</v>
      </c>
      <c r="W41" s="166">
        <v>2.0224799999999998</v>
      </c>
      <c r="Y41" s="125">
        <v>0.39583333333333331</v>
      </c>
      <c r="Z41" s="166"/>
      <c r="AA41" s="125">
        <v>0.39583333333333331</v>
      </c>
      <c r="AB41" s="166"/>
      <c r="AC41" s="125">
        <v>0.39583333333333331</v>
      </c>
      <c r="AD41" s="166"/>
      <c r="AF41" s="125">
        <v>0.39583333333333331</v>
      </c>
      <c r="AG41" s="166">
        <v>1.4702599999999999</v>
      </c>
      <c r="AH41" s="125">
        <v>0.39583333333333331</v>
      </c>
      <c r="AI41" s="208">
        <v>2.31277</v>
      </c>
      <c r="AJ41" s="125">
        <v>0.39583333333333331</v>
      </c>
      <c r="AK41" s="166">
        <v>3.6130399999999998</v>
      </c>
      <c r="AM41" s="125">
        <v>0.39583333333333331</v>
      </c>
      <c r="AN41" s="166">
        <v>1.5763400000000001</v>
      </c>
      <c r="AO41" s="125">
        <v>0.39583333333333331</v>
      </c>
      <c r="AP41" s="214">
        <v>1.7523599999999999</v>
      </c>
      <c r="AQ41" s="125">
        <v>0.39583333333333331</v>
      </c>
      <c r="AR41" s="166">
        <v>2.1760799999999998</v>
      </c>
      <c r="AT41" s="125">
        <v>0.39583333333333331</v>
      </c>
      <c r="AU41" s="21"/>
      <c r="AW41" s="125">
        <v>0.39583333333333331</v>
      </c>
      <c r="AX41" s="21"/>
    </row>
    <row r="42" spans="1:50" x14ac:dyDescent="0.3">
      <c r="A42" s="123">
        <v>0.32291666666666669</v>
      </c>
      <c r="B42" s="133">
        <f t="shared" si="0"/>
        <v>0</v>
      </c>
      <c r="D42" s="125">
        <v>0.40625</v>
      </c>
      <c r="E42" s="166"/>
      <c r="F42" s="125">
        <v>0.40625</v>
      </c>
      <c r="G42" s="166"/>
      <c r="H42" s="125">
        <v>0.40625</v>
      </c>
      <c r="I42" s="166"/>
      <c r="K42" s="125">
        <v>0.40625</v>
      </c>
      <c r="L42" s="166"/>
      <c r="M42" s="125">
        <v>0.40625</v>
      </c>
      <c r="N42" s="166"/>
      <c r="O42" s="125">
        <v>0.40625</v>
      </c>
      <c r="P42" s="166"/>
      <c r="R42" s="125">
        <v>0.40625</v>
      </c>
      <c r="S42" s="166">
        <v>1.56443</v>
      </c>
      <c r="T42" s="125">
        <v>0.40625</v>
      </c>
      <c r="U42" s="166">
        <v>2.02494</v>
      </c>
      <c r="V42" s="125">
        <v>0.40625</v>
      </c>
      <c r="W42" s="166">
        <v>2.0224799999999998</v>
      </c>
      <c r="Y42" s="125">
        <v>0.40625</v>
      </c>
      <c r="Z42" s="166"/>
      <c r="AA42" s="125">
        <v>0.40625</v>
      </c>
      <c r="AB42" s="166"/>
      <c r="AC42" s="125">
        <v>0.40625</v>
      </c>
      <c r="AD42" s="166"/>
      <c r="AF42" s="125">
        <v>0.40625</v>
      </c>
      <c r="AG42" s="166">
        <v>1.4702599999999999</v>
      </c>
      <c r="AH42" s="125">
        <v>0.40625</v>
      </c>
      <c r="AI42" s="208">
        <v>2.31277</v>
      </c>
      <c r="AJ42" s="125">
        <v>0.40625</v>
      </c>
      <c r="AK42" s="166">
        <v>3.6130399999999998</v>
      </c>
      <c r="AM42" s="125">
        <v>0.40625</v>
      </c>
      <c r="AN42" s="166">
        <v>1.5763400000000001</v>
      </c>
      <c r="AO42" s="125">
        <v>0.40625</v>
      </c>
      <c r="AP42" s="214">
        <v>1.7523599999999999</v>
      </c>
      <c r="AQ42" s="125">
        <v>0.40625</v>
      </c>
      <c r="AR42" s="166">
        <v>2.1760799999999998</v>
      </c>
      <c r="AT42" s="125">
        <v>0.40625</v>
      </c>
      <c r="AU42" s="21"/>
      <c r="AW42" s="125">
        <v>0.40625</v>
      </c>
      <c r="AX42" s="21"/>
    </row>
    <row r="43" spans="1:50" x14ac:dyDescent="0.3">
      <c r="A43" s="123">
        <v>0.33333333333333331</v>
      </c>
      <c r="B43" s="133">
        <f t="shared" si="0"/>
        <v>0</v>
      </c>
      <c r="D43" s="125">
        <v>0.41666666666666669</v>
      </c>
      <c r="E43" s="166"/>
      <c r="F43" s="125">
        <v>0.41666666666666669</v>
      </c>
      <c r="G43" s="166"/>
      <c r="H43" s="125">
        <v>0.41666666666666669</v>
      </c>
      <c r="I43" s="166"/>
      <c r="K43" s="125">
        <v>0.41666666666666669</v>
      </c>
      <c r="L43" s="166"/>
      <c r="M43" s="125">
        <v>0.41666666666666669</v>
      </c>
      <c r="N43" s="166"/>
      <c r="O43" s="125">
        <v>0.41666666666666669</v>
      </c>
      <c r="P43" s="166"/>
      <c r="R43" s="125">
        <v>0.41666666666666669</v>
      </c>
      <c r="S43" s="166">
        <v>1.56443</v>
      </c>
      <c r="T43" s="125">
        <v>0.41666666666666669</v>
      </c>
      <c r="U43" s="166">
        <v>2.02494</v>
      </c>
      <c r="V43" s="125">
        <v>0.41666666666666669</v>
      </c>
      <c r="W43" s="166">
        <v>2.0224799999999998</v>
      </c>
      <c r="Y43" s="125">
        <v>0.41666666666666669</v>
      </c>
      <c r="Z43" s="166"/>
      <c r="AA43" s="125">
        <v>0.41666666666666669</v>
      </c>
      <c r="AB43" s="166"/>
      <c r="AC43" s="125">
        <v>0.41666666666666669</v>
      </c>
      <c r="AD43" s="166"/>
      <c r="AF43" s="125">
        <v>0.41666666666666669</v>
      </c>
      <c r="AG43" s="166">
        <v>1.4702599999999999</v>
      </c>
      <c r="AH43" s="125">
        <v>0.41666666666666669</v>
      </c>
      <c r="AI43" s="208">
        <v>2.31277</v>
      </c>
      <c r="AJ43" s="125">
        <v>0.41666666666666669</v>
      </c>
      <c r="AK43" s="166">
        <v>3.6130399999999998</v>
      </c>
      <c r="AM43" s="125">
        <v>0.41666666666666669</v>
      </c>
      <c r="AN43" s="166">
        <v>1.5763400000000001</v>
      </c>
      <c r="AO43" s="125">
        <v>0.41666666666666669</v>
      </c>
      <c r="AP43" s="214">
        <v>1.7523599999999999</v>
      </c>
      <c r="AQ43" s="125">
        <v>0.41666666666666669</v>
      </c>
      <c r="AR43" s="166">
        <v>2.1760799999999998</v>
      </c>
      <c r="AT43" s="125">
        <v>0.41666666666666669</v>
      </c>
      <c r="AU43" s="21"/>
      <c r="AW43" s="125">
        <v>0.41666666666666669</v>
      </c>
      <c r="AX43" s="21"/>
    </row>
    <row r="44" spans="1:50" x14ac:dyDescent="0.3">
      <c r="A44" s="123">
        <v>0.34375</v>
      </c>
      <c r="B44" s="133">
        <f t="shared" si="0"/>
        <v>0</v>
      </c>
      <c r="D44" s="125">
        <v>0.42708333333333331</v>
      </c>
      <c r="E44" s="166"/>
      <c r="F44" s="125">
        <v>0.42708333333333331</v>
      </c>
      <c r="G44" s="166"/>
      <c r="H44" s="125">
        <v>0.42708333333333331</v>
      </c>
      <c r="I44" s="166"/>
      <c r="K44" s="125">
        <v>0.42708333333333331</v>
      </c>
      <c r="L44" s="166"/>
      <c r="M44" s="125">
        <v>0.42708333333333331</v>
      </c>
      <c r="N44" s="166"/>
      <c r="O44" s="125">
        <v>0.42708333333333331</v>
      </c>
      <c r="P44" s="166"/>
      <c r="R44" s="125">
        <v>0.42708333333333331</v>
      </c>
      <c r="S44" s="166">
        <v>1.37229</v>
      </c>
      <c r="T44" s="125">
        <v>0.42708333333333331</v>
      </c>
      <c r="U44" s="166">
        <v>2.66784</v>
      </c>
      <c r="V44" s="125">
        <v>0.42708333333333331</v>
      </c>
      <c r="W44" s="166">
        <v>2.98386</v>
      </c>
      <c r="Y44" s="125">
        <v>0.42708333333333331</v>
      </c>
      <c r="Z44" s="166"/>
      <c r="AA44" s="125">
        <v>0.42708333333333331</v>
      </c>
      <c r="AB44" s="166"/>
      <c r="AC44" s="125">
        <v>0.42708333333333331</v>
      </c>
      <c r="AD44" s="166"/>
      <c r="AF44" s="125">
        <v>0.42708333333333331</v>
      </c>
      <c r="AG44" s="166">
        <v>1.6088199999999999</v>
      </c>
      <c r="AH44" s="125">
        <v>0.42708333333333331</v>
      </c>
      <c r="AI44" s="208">
        <v>2.1872099999999999</v>
      </c>
      <c r="AJ44" s="125">
        <v>0.42708333333333331</v>
      </c>
      <c r="AK44" s="166">
        <v>2.7556400000000001</v>
      </c>
      <c r="AM44" s="125">
        <v>0.42708333333333331</v>
      </c>
      <c r="AN44" s="166">
        <v>1.5349299999999999</v>
      </c>
      <c r="AO44" s="125">
        <v>0.42708333333333331</v>
      </c>
      <c r="AP44" s="214">
        <v>2.1054300000000001</v>
      </c>
      <c r="AQ44" s="125">
        <v>0.42708333333333331</v>
      </c>
      <c r="AR44" s="166">
        <v>2.5815800000000002</v>
      </c>
      <c r="AT44" s="125">
        <v>0.42708333333333331</v>
      </c>
      <c r="AU44" s="21"/>
      <c r="AW44" s="125">
        <v>0.42708333333333331</v>
      </c>
      <c r="AX44" s="21"/>
    </row>
    <row r="45" spans="1:50" x14ac:dyDescent="0.3">
      <c r="A45" s="123">
        <v>0.35416666666666669</v>
      </c>
      <c r="B45" s="133">
        <f t="shared" si="0"/>
        <v>0</v>
      </c>
      <c r="D45" s="125">
        <v>0.4375</v>
      </c>
      <c r="E45" s="166"/>
      <c r="F45" s="125">
        <v>0.4375</v>
      </c>
      <c r="G45" s="166"/>
      <c r="H45" s="125">
        <v>0.4375</v>
      </c>
      <c r="I45" s="166"/>
      <c r="K45" s="125">
        <v>0.4375</v>
      </c>
      <c r="L45" s="166"/>
      <c r="M45" s="125">
        <v>0.4375</v>
      </c>
      <c r="N45" s="166"/>
      <c r="O45" s="125">
        <v>0.4375</v>
      </c>
      <c r="P45" s="166"/>
      <c r="R45" s="125">
        <v>0.4375</v>
      </c>
      <c r="S45" s="166">
        <v>1.37229</v>
      </c>
      <c r="T45" s="125">
        <v>0.4375</v>
      </c>
      <c r="U45" s="166">
        <v>2.66784</v>
      </c>
      <c r="V45" s="125">
        <v>0.4375</v>
      </c>
      <c r="W45" s="166">
        <v>2.98386</v>
      </c>
      <c r="Y45" s="125">
        <v>0.4375</v>
      </c>
      <c r="Z45" s="166"/>
      <c r="AA45" s="125">
        <v>0.4375</v>
      </c>
      <c r="AB45" s="166"/>
      <c r="AC45" s="125">
        <v>0.4375</v>
      </c>
      <c r="AD45" s="166"/>
      <c r="AF45" s="125">
        <v>0.4375</v>
      </c>
      <c r="AG45" s="166">
        <v>1.6088199999999999</v>
      </c>
      <c r="AH45" s="125">
        <v>0.4375</v>
      </c>
      <c r="AI45" s="208">
        <v>2.1872099999999999</v>
      </c>
      <c r="AJ45" s="125">
        <v>0.4375</v>
      </c>
      <c r="AK45" s="166">
        <v>2.7556400000000001</v>
      </c>
      <c r="AM45" s="125">
        <v>0.4375</v>
      </c>
      <c r="AN45" s="166">
        <v>1.5349299999999999</v>
      </c>
      <c r="AO45" s="125">
        <v>0.4375</v>
      </c>
      <c r="AP45" s="214">
        <v>2.1054300000000001</v>
      </c>
      <c r="AQ45" s="125">
        <v>0.4375</v>
      </c>
      <c r="AR45" s="166">
        <v>2.5815800000000002</v>
      </c>
      <c r="AT45" s="125">
        <v>0.4375</v>
      </c>
      <c r="AU45" s="21"/>
      <c r="AW45" s="125">
        <v>0.4375</v>
      </c>
      <c r="AX45" s="21"/>
    </row>
    <row r="46" spans="1:50" x14ac:dyDescent="0.3">
      <c r="A46" s="123">
        <v>0.36458333333333331</v>
      </c>
      <c r="B46" s="133">
        <f t="shared" si="0"/>
        <v>0</v>
      </c>
      <c r="D46" s="125">
        <v>0.44791666666666669</v>
      </c>
      <c r="E46" s="166"/>
      <c r="F46" s="125">
        <v>0.44791666666666669</v>
      </c>
      <c r="G46" s="166"/>
      <c r="H46" s="125">
        <v>0.44791666666666669</v>
      </c>
      <c r="I46" s="166"/>
      <c r="K46" s="125">
        <v>0.44791666666666669</v>
      </c>
      <c r="L46" s="166"/>
      <c r="M46" s="125">
        <v>0.44791666666666669</v>
      </c>
      <c r="N46" s="166"/>
      <c r="O46" s="125">
        <v>0.44791666666666669</v>
      </c>
      <c r="P46" s="166"/>
      <c r="R46" s="125">
        <v>0.44791666666666669</v>
      </c>
      <c r="S46" s="166">
        <v>1.37229</v>
      </c>
      <c r="T46" s="125">
        <v>0.44791666666666669</v>
      </c>
      <c r="U46" s="166">
        <v>2.66784</v>
      </c>
      <c r="V46" s="125">
        <v>0.44791666666666669</v>
      </c>
      <c r="W46" s="166">
        <v>2.98386</v>
      </c>
      <c r="Y46" s="125">
        <v>0.44791666666666669</v>
      </c>
      <c r="Z46" s="166"/>
      <c r="AA46" s="125">
        <v>0.44791666666666669</v>
      </c>
      <c r="AB46" s="166"/>
      <c r="AC46" s="125">
        <v>0.44791666666666669</v>
      </c>
      <c r="AD46" s="166"/>
      <c r="AF46" s="125">
        <v>0.44791666666666669</v>
      </c>
      <c r="AG46" s="166">
        <v>1.6088199999999999</v>
      </c>
      <c r="AH46" s="125">
        <v>0.44791666666666669</v>
      </c>
      <c r="AI46" s="208">
        <v>2.1872099999999999</v>
      </c>
      <c r="AJ46" s="125">
        <v>0.44791666666666669</v>
      </c>
      <c r="AK46" s="166">
        <v>2.7556400000000001</v>
      </c>
      <c r="AM46" s="125">
        <v>0.44791666666666669</v>
      </c>
      <c r="AN46" s="166">
        <v>1.5349299999999999</v>
      </c>
      <c r="AO46" s="125">
        <v>0.44791666666666669</v>
      </c>
      <c r="AP46" s="214">
        <v>2.1054300000000001</v>
      </c>
      <c r="AQ46" s="125">
        <v>0.44791666666666669</v>
      </c>
      <c r="AR46" s="166">
        <v>2.5815800000000002</v>
      </c>
      <c r="AT46" s="125">
        <v>0.44791666666666669</v>
      </c>
      <c r="AU46" s="21"/>
      <c r="AW46" s="125">
        <v>0.44791666666666669</v>
      </c>
      <c r="AX46" s="21"/>
    </row>
    <row r="47" spans="1:50" x14ac:dyDescent="0.3">
      <c r="A47" s="123">
        <v>0.375</v>
      </c>
      <c r="B47" s="133">
        <f t="shared" si="0"/>
        <v>0</v>
      </c>
      <c r="D47" s="125">
        <v>0.45833333333333331</v>
      </c>
      <c r="E47" s="166"/>
      <c r="F47" s="125">
        <v>0.45833333333333331</v>
      </c>
      <c r="G47" s="166"/>
      <c r="H47" s="125">
        <v>0.45833333333333331</v>
      </c>
      <c r="I47" s="166"/>
      <c r="K47" s="125">
        <v>0.45833333333333331</v>
      </c>
      <c r="L47" s="166"/>
      <c r="M47" s="125">
        <v>0.45833333333333331</v>
      </c>
      <c r="N47" s="166"/>
      <c r="O47" s="125">
        <v>0.45833333333333331</v>
      </c>
      <c r="P47" s="166"/>
      <c r="R47" s="125">
        <v>0.45833333333333331</v>
      </c>
      <c r="S47" s="166">
        <v>1.37229</v>
      </c>
      <c r="T47" s="125">
        <v>0.45833333333333331</v>
      </c>
      <c r="U47" s="166">
        <v>2.66784</v>
      </c>
      <c r="V47" s="125">
        <v>0.45833333333333331</v>
      </c>
      <c r="W47" s="166">
        <v>2.98386</v>
      </c>
      <c r="Y47" s="125">
        <v>0.45833333333333331</v>
      </c>
      <c r="Z47" s="166"/>
      <c r="AA47" s="125">
        <v>0.45833333333333331</v>
      </c>
      <c r="AB47" s="166"/>
      <c r="AC47" s="125">
        <v>0.45833333333333331</v>
      </c>
      <c r="AD47" s="166"/>
      <c r="AF47" s="125">
        <v>0.45833333333333331</v>
      </c>
      <c r="AG47" s="166">
        <v>1.6088199999999999</v>
      </c>
      <c r="AH47" s="125">
        <v>0.45833333333333331</v>
      </c>
      <c r="AI47" s="208">
        <v>2.1872099999999999</v>
      </c>
      <c r="AJ47" s="125">
        <v>0.45833333333333331</v>
      </c>
      <c r="AK47" s="166">
        <v>2.7556400000000001</v>
      </c>
      <c r="AM47" s="125">
        <v>0.45833333333333331</v>
      </c>
      <c r="AN47" s="166">
        <v>1.5349299999999999</v>
      </c>
      <c r="AO47" s="125">
        <v>0.45833333333333331</v>
      </c>
      <c r="AP47" s="214">
        <v>2.1054300000000001</v>
      </c>
      <c r="AQ47" s="125">
        <v>0.45833333333333331</v>
      </c>
      <c r="AR47" s="166">
        <v>2.5815800000000002</v>
      </c>
      <c r="AT47" s="125">
        <v>0.45833333333333331</v>
      </c>
      <c r="AU47" s="21"/>
      <c r="AW47" s="125">
        <v>0.45833333333333331</v>
      </c>
      <c r="AX47" s="21"/>
    </row>
    <row r="48" spans="1:50" x14ac:dyDescent="0.3">
      <c r="A48" s="123">
        <v>0.38541666666666669</v>
      </c>
      <c r="B48" s="133">
        <f t="shared" si="0"/>
        <v>0</v>
      </c>
      <c r="D48" s="125">
        <v>0.46875</v>
      </c>
      <c r="E48" s="166"/>
      <c r="F48" s="125">
        <v>0.46875</v>
      </c>
      <c r="G48" s="166"/>
      <c r="H48" s="125">
        <v>0.46875</v>
      </c>
      <c r="I48" s="166"/>
      <c r="K48" s="125">
        <v>0.46875</v>
      </c>
      <c r="L48" s="166"/>
      <c r="M48" s="125">
        <v>0.46875</v>
      </c>
      <c r="N48" s="166"/>
      <c r="O48" s="125">
        <v>0.46875</v>
      </c>
      <c r="P48" s="166"/>
      <c r="R48" s="125">
        <v>0.46875</v>
      </c>
      <c r="S48" s="166">
        <v>1.49857</v>
      </c>
      <c r="T48" s="125">
        <v>0.46875</v>
      </c>
      <c r="U48" s="166">
        <v>3.1555900000000001</v>
      </c>
      <c r="V48" s="125">
        <v>0.46875</v>
      </c>
      <c r="W48" s="166">
        <v>2.5087999999999999</v>
      </c>
      <c r="Y48" s="125">
        <v>0.46875</v>
      </c>
      <c r="Z48" s="166"/>
      <c r="AA48" s="125">
        <v>0.46875</v>
      </c>
      <c r="AB48" s="166"/>
      <c r="AC48" s="125">
        <v>0.46875</v>
      </c>
      <c r="AD48" s="166"/>
      <c r="AF48" s="125">
        <v>0.46875</v>
      </c>
      <c r="AG48" s="166">
        <v>1.2109300000000001</v>
      </c>
      <c r="AH48" s="125">
        <v>0.46875</v>
      </c>
      <c r="AI48" s="208">
        <v>1.7669999999999999</v>
      </c>
      <c r="AJ48" s="125">
        <v>0.46875</v>
      </c>
      <c r="AK48" s="166">
        <v>2.83866</v>
      </c>
      <c r="AM48" s="125">
        <v>0.46875</v>
      </c>
      <c r="AN48" s="166">
        <v>1.71055</v>
      </c>
      <c r="AO48" s="125">
        <v>0.46875</v>
      </c>
      <c r="AP48" s="214">
        <v>2.1613899999999999</v>
      </c>
      <c r="AQ48" s="125">
        <v>0.46875</v>
      </c>
      <c r="AR48" s="166">
        <v>2.69103</v>
      </c>
      <c r="AT48" s="125">
        <v>0.46875</v>
      </c>
      <c r="AU48" s="21"/>
      <c r="AW48" s="125">
        <v>0.46875</v>
      </c>
      <c r="AX48" s="21"/>
    </row>
    <row r="49" spans="1:50" x14ac:dyDescent="0.3">
      <c r="A49" s="123">
        <v>0.39583333333333331</v>
      </c>
      <c r="B49" s="133">
        <f t="shared" si="0"/>
        <v>0</v>
      </c>
      <c r="D49" s="125">
        <v>0.47916666666666669</v>
      </c>
      <c r="E49" s="166"/>
      <c r="F49" s="125">
        <v>0.47916666666666669</v>
      </c>
      <c r="G49" s="166"/>
      <c r="H49" s="125">
        <v>0.47916666666666669</v>
      </c>
      <c r="I49" s="166"/>
      <c r="K49" s="125">
        <v>0.47916666666666669</v>
      </c>
      <c r="L49" s="166"/>
      <c r="M49" s="125">
        <v>0.47916666666666669</v>
      </c>
      <c r="N49" s="166"/>
      <c r="O49" s="125">
        <v>0.47916666666666669</v>
      </c>
      <c r="P49" s="166"/>
      <c r="R49" s="125">
        <v>0.47916666666666669</v>
      </c>
      <c r="S49" s="166">
        <v>1.49857</v>
      </c>
      <c r="T49" s="125">
        <v>0.47916666666666669</v>
      </c>
      <c r="U49" s="166">
        <v>3.1555900000000001</v>
      </c>
      <c r="V49" s="125">
        <v>0.47916666666666669</v>
      </c>
      <c r="W49" s="166">
        <v>2.5087999999999999</v>
      </c>
      <c r="Y49" s="125">
        <v>0.47916666666666669</v>
      </c>
      <c r="Z49" s="166"/>
      <c r="AA49" s="125">
        <v>0.47916666666666669</v>
      </c>
      <c r="AB49" s="166"/>
      <c r="AC49" s="125">
        <v>0.47916666666666669</v>
      </c>
      <c r="AD49" s="166"/>
      <c r="AF49" s="125">
        <v>0.47916666666666669</v>
      </c>
      <c r="AG49" s="166">
        <v>1.2109300000000001</v>
      </c>
      <c r="AH49" s="125">
        <v>0.47916666666666669</v>
      </c>
      <c r="AI49" s="208">
        <v>1.7669999999999999</v>
      </c>
      <c r="AJ49" s="125">
        <v>0.47916666666666669</v>
      </c>
      <c r="AK49" s="166">
        <v>2.83866</v>
      </c>
      <c r="AM49" s="125">
        <v>0.47916666666666669</v>
      </c>
      <c r="AN49" s="166">
        <v>1.71055</v>
      </c>
      <c r="AO49" s="125">
        <v>0.47916666666666669</v>
      </c>
      <c r="AP49" s="214">
        <v>2.1613899999999999</v>
      </c>
      <c r="AQ49" s="125">
        <v>0.47916666666666669</v>
      </c>
      <c r="AR49" s="166">
        <v>2.69103</v>
      </c>
      <c r="AT49" s="125">
        <v>0.47916666666666669</v>
      </c>
      <c r="AU49" s="21"/>
      <c r="AW49" s="125">
        <v>0.47916666666666669</v>
      </c>
      <c r="AX49" s="21"/>
    </row>
    <row r="50" spans="1:50" x14ac:dyDescent="0.3">
      <c r="A50" s="123">
        <v>0.40625</v>
      </c>
      <c r="B50" s="133">
        <f t="shared" si="0"/>
        <v>0</v>
      </c>
      <c r="D50" s="125">
        <v>0.48958333333333331</v>
      </c>
      <c r="E50" s="166"/>
      <c r="F50" s="125">
        <v>0.48958333333333331</v>
      </c>
      <c r="G50" s="166"/>
      <c r="H50" s="125">
        <v>0.48958333333333331</v>
      </c>
      <c r="I50" s="166"/>
      <c r="K50" s="125">
        <v>0.48958333333333331</v>
      </c>
      <c r="L50" s="166"/>
      <c r="M50" s="125">
        <v>0.48958333333333331</v>
      </c>
      <c r="N50" s="166"/>
      <c r="O50" s="125">
        <v>0.48958333333333331</v>
      </c>
      <c r="P50" s="166"/>
      <c r="R50" s="125">
        <v>0.48958333333333331</v>
      </c>
      <c r="S50" s="166">
        <v>1.49857</v>
      </c>
      <c r="T50" s="125">
        <v>0.48958333333333331</v>
      </c>
      <c r="U50" s="166">
        <v>3.1555900000000001</v>
      </c>
      <c r="V50" s="125">
        <v>0.48958333333333331</v>
      </c>
      <c r="W50" s="166">
        <v>2.5087999999999999</v>
      </c>
      <c r="Y50" s="125">
        <v>0.48958333333333331</v>
      </c>
      <c r="Z50" s="166"/>
      <c r="AA50" s="125">
        <v>0.48958333333333331</v>
      </c>
      <c r="AB50" s="166"/>
      <c r="AC50" s="125">
        <v>0.48958333333333331</v>
      </c>
      <c r="AD50" s="166"/>
      <c r="AF50" s="125">
        <v>0.48958333333333331</v>
      </c>
      <c r="AG50" s="166">
        <v>1.2109300000000001</v>
      </c>
      <c r="AH50" s="125">
        <v>0.48958333333333331</v>
      </c>
      <c r="AI50" s="208">
        <v>1.7669999999999999</v>
      </c>
      <c r="AJ50" s="125">
        <v>0.48958333333333331</v>
      </c>
      <c r="AK50" s="166">
        <v>2.83866</v>
      </c>
      <c r="AM50" s="125">
        <v>0.48958333333333331</v>
      </c>
      <c r="AN50" s="166">
        <v>1.71055</v>
      </c>
      <c r="AO50" s="125">
        <v>0.48958333333333331</v>
      </c>
      <c r="AP50" s="214">
        <v>2.1613899999999999</v>
      </c>
      <c r="AQ50" s="125">
        <v>0.48958333333333331</v>
      </c>
      <c r="AR50" s="166">
        <v>2.69103</v>
      </c>
      <c r="AT50" s="125">
        <v>0.48958333333333331</v>
      </c>
      <c r="AU50" s="21"/>
      <c r="AW50" s="125">
        <v>0.48958333333333331</v>
      </c>
      <c r="AX50" s="21"/>
    </row>
    <row r="51" spans="1:50" x14ac:dyDescent="0.3">
      <c r="A51" s="123">
        <v>0.41666666666666669</v>
      </c>
      <c r="B51" s="133">
        <f t="shared" si="0"/>
        <v>0</v>
      </c>
      <c r="D51" s="125">
        <v>0.5</v>
      </c>
      <c r="E51" s="166"/>
      <c r="F51" s="125">
        <v>0.5</v>
      </c>
      <c r="G51" s="166"/>
      <c r="H51" s="125">
        <v>0.5</v>
      </c>
      <c r="I51" s="166"/>
      <c r="K51" s="125">
        <v>0.5</v>
      </c>
      <c r="L51" s="166"/>
      <c r="M51" s="125">
        <v>0.5</v>
      </c>
      <c r="N51" s="166"/>
      <c r="O51" s="125">
        <v>0.5</v>
      </c>
      <c r="P51" s="166"/>
      <c r="R51" s="125">
        <v>0.5</v>
      </c>
      <c r="S51" s="166">
        <v>1.49857</v>
      </c>
      <c r="T51" s="125">
        <v>0.5</v>
      </c>
      <c r="U51" s="166">
        <v>3.1555900000000001</v>
      </c>
      <c r="V51" s="125">
        <v>0.5</v>
      </c>
      <c r="W51" s="166">
        <v>2.5087999999999999</v>
      </c>
      <c r="Y51" s="125">
        <v>0.5</v>
      </c>
      <c r="Z51" s="166"/>
      <c r="AA51" s="125">
        <v>0.5</v>
      </c>
      <c r="AB51" s="166"/>
      <c r="AC51" s="125">
        <v>0.5</v>
      </c>
      <c r="AD51" s="166"/>
      <c r="AF51" s="125">
        <v>0.5</v>
      </c>
      <c r="AG51" s="166">
        <v>1.2109300000000001</v>
      </c>
      <c r="AH51" s="125">
        <v>0.5</v>
      </c>
      <c r="AI51" s="208">
        <v>1.7669999999999999</v>
      </c>
      <c r="AJ51" s="125">
        <v>0.5</v>
      </c>
      <c r="AK51" s="166">
        <v>2.83866</v>
      </c>
      <c r="AM51" s="125">
        <v>0.5</v>
      </c>
      <c r="AN51" s="166">
        <v>1.71055</v>
      </c>
      <c r="AO51" s="125">
        <v>0.5</v>
      </c>
      <c r="AP51" s="214">
        <v>2.1613899999999999</v>
      </c>
      <c r="AQ51" s="125">
        <v>0.5</v>
      </c>
      <c r="AR51" s="166">
        <v>2.69103</v>
      </c>
      <c r="AT51" s="125">
        <v>0.5</v>
      </c>
      <c r="AU51" s="21"/>
      <c r="AW51" s="125">
        <v>0.5</v>
      </c>
      <c r="AX51" s="21"/>
    </row>
    <row r="52" spans="1:50" x14ac:dyDescent="0.3">
      <c r="A52" s="123">
        <v>0.42708333333333331</v>
      </c>
      <c r="B52" s="133">
        <f t="shared" si="0"/>
        <v>0</v>
      </c>
      <c r="D52" s="125">
        <v>0.51041666666666663</v>
      </c>
      <c r="E52" s="166"/>
      <c r="F52" s="125">
        <v>0.51041666666666663</v>
      </c>
      <c r="G52" s="166"/>
      <c r="H52" s="125">
        <v>0.51041666666666663</v>
      </c>
      <c r="I52" s="166"/>
      <c r="K52" s="125">
        <v>0.51041666666666663</v>
      </c>
      <c r="L52" s="166"/>
      <c r="M52" s="125">
        <v>0.51041666666666663</v>
      </c>
      <c r="N52" s="166"/>
      <c r="O52" s="125">
        <v>0.51041666666666663</v>
      </c>
      <c r="P52" s="166"/>
      <c r="R52" s="125">
        <v>0.51041666666666663</v>
      </c>
      <c r="S52" s="166">
        <v>1.8254900000000001</v>
      </c>
      <c r="T52" s="125">
        <v>0.51041666666666663</v>
      </c>
      <c r="U52" s="166">
        <v>2.1715300000000002</v>
      </c>
      <c r="V52" s="125">
        <v>0.51041666666666663</v>
      </c>
      <c r="W52" s="166">
        <v>2.74729</v>
      </c>
      <c r="Y52" s="125">
        <v>0.51041666666666663</v>
      </c>
      <c r="Z52" s="166"/>
      <c r="AA52" s="125">
        <v>0.51041666666666663</v>
      </c>
      <c r="AB52" s="166"/>
      <c r="AC52" s="125">
        <v>0.51041666666666663</v>
      </c>
      <c r="AD52" s="166"/>
      <c r="AF52" s="125">
        <v>0.51041666666666663</v>
      </c>
      <c r="AG52" s="166">
        <v>1.81595</v>
      </c>
      <c r="AH52" s="125">
        <v>0.51041666666666663</v>
      </c>
      <c r="AI52" s="208">
        <v>2.1067499999999999</v>
      </c>
      <c r="AJ52" s="125">
        <v>0.51041666666666663</v>
      </c>
      <c r="AK52" s="166">
        <v>1.98864</v>
      </c>
      <c r="AM52" s="125">
        <v>0.51041666666666663</v>
      </c>
      <c r="AN52" s="166">
        <v>1.5471600000000001</v>
      </c>
      <c r="AO52" s="125">
        <v>0.51041666666666663</v>
      </c>
      <c r="AP52" s="214">
        <v>2.3204199999999999</v>
      </c>
      <c r="AQ52" s="125">
        <v>0.51041666666666663</v>
      </c>
      <c r="AR52" s="166">
        <v>3.2522199999999999</v>
      </c>
      <c r="AT52" s="125">
        <v>0.51041666666666663</v>
      </c>
      <c r="AU52" s="21"/>
      <c r="AW52" s="125">
        <v>0.51041666666666663</v>
      </c>
      <c r="AX52" s="21"/>
    </row>
    <row r="53" spans="1:50" x14ac:dyDescent="0.3">
      <c r="A53" s="123">
        <v>0.4375</v>
      </c>
      <c r="B53" s="133">
        <f t="shared" si="0"/>
        <v>0</v>
      </c>
      <c r="D53" s="125">
        <v>0.52083333333333337</v>
      </c>
      <c r="E53" s="166"/>
      <c r="F53" s="125">
        <v>0.52083333333333337</v>
      </c>
      <c r="G53" s="166"/>
      <c r="H53" s="125">
        <v>0.52083333333333337</v>
      </c>
      <c r="I53" s="166"/>
      <c r="K53" s="125">
        <v>0.52083333333333337</v>
      </c>
      <c r="L53" s="166"/>
      <c r="M53" s="125">
        <v>0.52083333333333337</v>
      </c>
      <c r="N53" s="166"/>
      <c r="O53" s="125">
        <v>0.52083333333333337</v>
      </c>
      <c r="P53" s="166"/>
      <c r="R53" s="125">
        <v>0.52083333333333337</v>
      </c>
      <c r="S53" s="166">
        <v>1.8254900000000001</v>
      </c>
      <c r="T53" s="125">
        <v>0.52083333333333337</v>
      </c>
      <c r="U53" s="166">
        <v>2.1715300000000002</v>
      </c>
      <c r="V53" s="125">
        <v>0.52083333333333337</v>
      </c>
      <c r="W53" s="166">
        <v>2.74729</v>
      </c>
      <c r="Y53" s="125">
        <v>0.52083333333333337</v>
      </c>
      <c r="Z53" s="166"/>
      <c r="AA53" s="125">
        <v>0.52083333333333337</v>
      </c>
      <c r="AB53" s="166"/>
      <c r="AC53" s="125">
        <v>0.52083333333333337</v>
      </c>
      <c r="AD53" s="166"/>
      <c r="AF53" s="125">
        <v>0.52083333333333337</v>
      </c>
      <c r="AG53" s="166">
        <v>1.81595</v>
      </c>
      <c r="AH53" s="125">
        <v>0.52083333333333337</v>
      </c>
      <c r="AI53" s="208">
        <v>2.1067499999999999</v>
      </c>
      <c r="AJ53" s="125">
        <v>0.52083333333333337</v>
      </c>
      <c r="AK53" s="166">
        <v>1.98864</v>
      </c>
      <c r="AM53" s="125">
        <v>0.52083333333333337</v>
      </c>
      <c r="AN53" s="166">
        <v>1.5471600000000001</v>
      </c>
      <c r="AO53" s="125">
        <v>0.52083333333333337</v>
      </c>
      <c r="AP53" s="214">
        <v>2.3204199999999999</v>
      </c>
      <c r="AQ53" s="125">
        <v>0.52083333333333337</v>
      </c>
      <c r="AR53" s="166">
        <v>3.2522199999999999</v>
      </c>
      <c r="AT53" s="125">
        <v>0.52083333333333337</v>
      </c>
      <c r="AU53" s="21"/>
      <c r="AW53" s="125">
        <v>0.52083333333333337</v>
      </c>
      <c r="AX53" s="21"/>
    </row>
    <row r="54" spans="1:50" x14ac:dyDescent="0.3">
      <c r="A54" s="123">
        <v>0.44791666666666669</v>
      </c>
      <c r="B54" s="133">
        <f t="shared" si="0"/>
        <v>0</v>
      </c>
      <c r="D54" s="125">
        <v>0.53125</v>
      </c>
      <c r="E54" s="166"/>
      <c r="F54" s="125">
        <v>0.53125</v>
      </c>
      <c r="G54" s="166"/>
      <c r="H54" s="125">
        <v>0.53125</v>
      </c>
      <c r="I54" s="166"/>
      <c r="K54" s="125">
        <v>0.53125</v>
      </c>
      <c r="L54" s="166"/>
      <c r="M54" s="125">
        <v>0.53125</v>
      </c>
      <c r="N54" s="166"/>
      <c r="O54" s="125">
        <v>0.53125</v>
      </c>
      <c r="P54" s="166"/>
      <c r="R54" s="125">
        <v>0.53125</v>
      </c>
      <c r="S54" s="166">
        <v>1.8254900000000001</v>
      </c>
      <c r="T54" s="125">
        <v>0.53125</v>
      </c>
      <c r="U54" s="166">
        <v>2.1715300000000002</v>
      </c>
      <c r="V54" s="125">
        <v>0.53125</v>
      </c>
      <c r="W54" s="166">
        <v>2.74729</v>
      </c>
      <c r="Y54" s="125">
        <v>0.53125</v>
      </c>
      <c r="Z54" s="166"/>
      <c r="AA54" s="125">
        <v>0.53125</v>
      </c>
      <c r="AB54" s="166"/>
      <c r="AC54" s="125">
        <v>0.53125</v>
      </c>
      <c r="AD54" s="166"/>
      <c r="AF54" s="125">
        <v>0.53125</v>
      </c>
      <c r="AG54" s="166">
        <v>1.81595</v>
      </c>
      <c r="AH54" s="125">
        <v>0.53125</v>
      </c>
      <c r="AI54" s="208">
        <v>2.1067499999999999</v>
      </c>
      <c r="AJ54" s="125">
        <v>0.53125</v>
      </c>
      <c r="AK54" s="166">
        <v>1.98864</v>
      </c>
      <c r="AM54" s="125">
        <v>0.53125</v>
      </c>
      <c r="AN54" s="166">
        <v>1.5471600000000001</v>
      </c>
      <c r="AO54" s="125">
        <v>0.53125</v>
      </c>
      <c r="AP54" s="214">
        <v>2.3204199999999999</v>
      </c>
      <c r="AQ54" s="125">
        <v>0.53125</v>
      </c>
      <c r="AR54" s="166">
        <v>3.2522199999999999</v>
      </c>
      <c r="AT54" s="125">
        <v>0.53125</v>
      </c>
      <c r="AU54" s="21"/>
      <c r="AW54" s="125">
        <v>0.53125</v>
      </c>
      <c r="AX54" s="21"/>
    </row>
    <row r="55" spans="1:50" x14ac:dyDescent="0.3">
      <c r="A55" s="123">
        <v>0.45833333333333331</v>
      </c>
      <c r="B55" s="133">
        <f t="shared" si="0"/>
        <v>0</v>
      </c>
      <c r="D55" s="125">
        <v>0.54166666666666663</v>
      </c>
      <c r="E55" s="166"/>
      <c r="F55" s="125">
        <v>0.54166666666666663</v>
      </c>
      <c r="G55" s="166"/>
      <c r="H55" s="125">
        <v>0.54166666666666663</v>
      </c>
      <c r="I55" s="166"/>
      <c r="K55" s="125">
        <v>0.54166666666666663</v>
      </c>
      <c r="L55" s="166"/>
      <c r="M55" s="125">
        <v>0.54166666666666663</v>
      </c>
      <c r="N55" s="166"/>
      <c r="O55" s="125">
        <v>0.54166666666666663</v>
      </c>
      <c r="P55" s="166"/>
      <c r="R55" s="125">
        <v>0.54166666666666663</v>
      </c>
      <c r="S55" s="166">
        <v>1.8254900000000001</v>
      </c>
      <c r="T55" s="125">
        <v>0.54166666666666663</v>
      </c>
      <c r="U55" s="166">
        <v>2.1715300000000002</v>
      </c>
      <c r="V55" s="125">
        <v>0.54166666666666663</v>
      </c>
      <c r="W55" s="166">
        <v>2.74729</v>
      </c>
      <c r="Y55" s="125">
        <v>0.54166666666666663</v>
      </c>
      <c r="Z55" s="166"/>
      <c r="AA55" s="125">
        <v>0.54166666666666663</v>
      </c>
      <c r="AB55" s="166"/>
      <c r="AC55" s="125">
        <v>0.54166666666666663</v>
      </c>
      <c r="AD55" s="166"/>
      <c r="AF55" s="125">
        <v>0.54166666666666663</v>
      </c>
      <c r="AG55" s="166">
        <v>1.81595</v>
      </c>
      <c r="AH55" s="125">
        <v>0.54166666666666663</v>
      </c>
      <c r="AI55" s="208">
        <v>2.1067499999999999</v>
      </c>
      <c r="AJ55" s="125">
        <v>0.54166666666666663</v>
      </c>
      <c r="AK55" s="166">
        <v>1.98864</v>
      </c>
      <c r="AM55" s="125">
        <v>0.54166666666666663</v>
      </c>
      <c r="AN55" s="166">
        <v>1.5471600000000001</v>
      </c>
      <c r="AO55" s="125">
        <v>0.54166666666666663</v>
      </c>
      <c r="AP55" s="214">
        <v>2.3204199999999999</v>
      </c>
      <c r="AQ55" s="125">
        <v>0.54166666666666663</v>
      </c>
      <c r="AR55" s="166">
        <v>3.2522199999999999</v>
      </c>
      <c r="AT55" s="125">
        <v>0.54166666666666663</v>
      </c>
      <c r="AU55" s="21"/>
      <c r="AW55" s="125">
        <v>0.54166666666666663</v>
      </c>
      <c r="AX55" s="21"/>
    </row>
    <row r="56" spans="1:50" x14ac:dyDescent="0.3">
      <c r="A56" s="123">
        <v>0.46875</v>
      </c>
      <c r="B56" s="133">
        <f t="shared" si="0"/>
        <v>0</v>
      </c>
      <c r="D56" s="125">
        <v>0.55208333333333337</v>
      </c>
      <c r="E56" s="166"/>
      <c r="F56" s="125">
        <v>0.55208333333333337</v>
      </c>
      <c r="G56" s="166"/>
      <c r="H56" s="125">
        <v>0.55208333333333337</v>
      </c>
      <c r="I56" s="166"/>
      <c r="K56" s="125">
        <v>0.55208333333333337</v>
      </c>
      <c r="L56" s="166"/>
      <c r="M56" s="125">
        <v>0.55208333333333337</v>
      </c>
      <c r="N56" s="166"/>
      <c r="O56" s="125">
        <v>0.55208333333333337</v>
      </c>
      <c r="P56" s="166"/>
      <c r="R56" s="125">
        <v>0.55208333333333337</v>
      </c>
      <c r="S56" s="166">
        <v>1.8926099999999999</v>
      </c>
      <c r="T56" s="125">
        <v>0.55208333333333337</v>
      </c>
      <c r="U56" s="166">
        <v>3.12845</v>
      </c>
      <c r="V56" s="125">
        <v>0.55208333333333337</v>
      </c>
      <c r="W56" s="166">
        <v>2.7978700000000001</v>
      </c>
      <c r="Y56" s="125">
        <v>0.55208333333333337</v>
      </c>
      <c r="Z56" s="166"/>
      <c r="AA56" s="125">
        <v>0.55208333333333337</v>
      </c>
      <c r="AB56" s="166"/>
      <c r="AC56" s="125">
        <v>0.55208333333333337</v>
      </c>
      <c r="AD56" s="166"/>
      <c r="AF56" s="125">
        <v>0.55208333333333337</v>
      </c>
      <c r="AG56" s="166">
        <v>2.07281</v>
      </c>
      <c r="AH56" s="125">
        <v>0.55208333333333337</v>
      </c>
      <c r="AI56" s="208">
        <v>1.4113199999999999</v>
      </c>
      <c r="AJ56" s="125">
        <v>0.55208333333333337</v>
      </c>
      <c r="AK56" s="166">
        <v>1.8276300000000001</v>
      </c>
      <c r="AM56" s="125">
        <v>0.55208333333333337</v>
      </c>
      <c r="AN56" s="166">
        <v>1.5730599999999999</v>
      </c>
      <c r="AO56" s="125">
        <v>0.55208333333333337</v>
      </c>
      <c r="AP56" s="214">
        <v>2.3505500000000001</v>
      </c>
      <c r="AQ56" s="125">
        <v>0.55208333333333337</v>
      </c>
      <c r="AR56" s="166">
        <v>3.2365599999999999</v>
      </c>
      <c r="AT56" s="125">
        <v>0.55208333333333337</v>
      </c>
      <c r="AU56" s="21"/>
      <c r="AW56" s="125">
        <v>0.55208333333333337</v>
      </c>
      <c r="AX56" s="21"/>
    </row>
    <row r="57" spans="1:50" x14ac:dyDescent="0.3">
      <c r="A57" s="123">
        <v>0.47916666666666669</v>
      </c>
      <c r="B57" s="133">
        <f t="shared" si="0"/>
        <v>0</v>
      </c>
      <c r="D57" s="125">
        <v>0.5625</v>
      </c>
      <c r="E57" s="166"/>
      <c r="F57" s="125">
        <v>0.5625</v>
      </c>
      <c r="G57" s="166"/>
      <c r="H57" s="125">
        <v>0.5625</v>
      </c>
      <c r="I57" s="166"/>
      <c r="K57" s="125">
        <v>0.5625</v>
      </c>
      <c r="L57" s="166"/>
      <c r="M57" s="125">
        <v>0.5625</v>
      </c>
      <c r="N57" s="166"/>
      <c r="O57" s="125">
        <v>0.5625</v>
      </c>
      <c r="P57" s="166"/>
      <c r="R57" s="125">
        <v>0.5625</v>
      </c>
      <c r="S57" s="166">
        <v>1.8926099999999999</v>
      </c>
      <c r="T57" s="125">
        <v>0.5625</v>
      </c>
      <c r="U57" s="166">
        <v>3.12845</v>
      </c>
      <c r="V57" s="125">
        <v>0.5625</v>
      </c>
      <c r="W57" s="166">
        <v>2.7978700000000001</v>
      </c>
      <c r="Y57" s="125">
        <v>0.5625</v>
      </c>
      <c r="Z57" s="166"/>
      <c r="AA57" s="125">
        <v>0.5625</v>
      </c>
      <c r="AB57" s="166"/>
      <c r="AC57" s="125">
        <v>0.5625</v>
      </c>
      <c r="AD57" s="166"/>
      <c r="AF57" s="125">
        <v>0.5625</v>
      </c>
      <c r="AG57" s="166">
        <v>2.07281</v>
      </c>
      <c r="AH57" s="125">
        <v>0.5625</v>
      </c>
      <c r="AI57" s="208">
        <v>1.4113199999999999</v>
      </c>
      <c r="AJ57" s="125">
        <v>0.5625</v>
      </c>
      <c r="AK57" s="166">
        <v>1.8276300000000001</v>
      </c>
      <c r="AM57" s="125">
        <v>0.5625</v>
      </c>
      <c r="AN57" s="166">
        <v>1.5730599999999999</v>
      </c>
      <c r="AO57" s="125">
        <v>0.5625</v>
      </c>
      <c r="AP57" s="214">
        <v>2.3505500000000001</v>
      </c>
      <c r="AQ57" s="125">
        <v>0.5625</v>
      </c>
      <c r="AR57" s="166">
        <v>3.2365599999999999</v>
      </c>
      <c r="AT57" s="125">
        <v>0.5625</v>
      </c>
      <c r="AU57" s="21"/>
      <c r="AW57" s="125">
        <v>0.5625</v>
      </c>
      <c r="AX57" s="21"/>
    </row>
    <row r="58" spans="1:50" x14ac:dyDescent="0.3">
      <c r="A58" s="123">
        <v>0.48958333333333331</v>
      </c>
      <c r="B58" s="133">
        <f t="shared" si="0"/>
        <v>0</v>
      </c>
      <c r="D58" s="125">
        <v>0.57291666666666663</v>
      </c>
      <c r="E58" s="166"/>
      <c r="F58" s="125">
        <v>0.57291666666666663</v>
      </c>
      <c r="G58" s="166"/>
      <c r="H58" s="125">
        <v>0.57291666666666663</v>
      </c>
      <c r="I58" s="166"/>
      <c r="K58" s="125">
        <v>0.57291666666666663</v>
      </c>
      <c r="L58" s="166"/>
      <c r="M58" s="125">
        <v>0.57291666666666663</v>
      </c>
      <c r="N58" s="166"/>
      <c r="O58" s="125">
        <v>0.57291666666666663</v>
      </c>
      <c r="P58" s="166"/>
      <c r="R58" s="125">
        <v>0.57291666666666663</v>
      </c>
      <c r="S58" s="166">
        <v>1.8926099999999999</v>
      </c>
      <c r="T58" s="125">
        <v>0.57291666666666663</v>
      </c>
      <c r="U58" s="166">
        <v>3.12845</v>
      </c>
      <c r="V58" s="125">
        <v>0.57291666666666663</v>
      </c>
      <c r="W58" s="166">
        <v>2.7978700000000001</v>
      </c>
      <c r="Y58" s="125">
        <v>0.57291666666666663</v>
      </c>
      <c r="Z58" s="166"/>
      <c r="AA58" s="125">
        <v>0.57291666666666663</v>
      </c>
      <c r="AB58" s="166"/>
      <c r="AC58" s="125">
        <v>0.57291666666666663</v>
      </c>
      <c r="AD58" s="166"/>
      <c r="AF58" s="125">
        <v>0.57291666666666663</v>
      </c>
      <c r="AG58" s="166">
        <v>2.07281</v>
      </c>
      <c r="AH58" s="125">
        <v>0.57291666666666663</v>
      </c>
      <c r="AI58" s="208">
        <v>1.4113199999999999</v>
      </c>
      <c r="AJ58" s="125">
        <v>0.57291666666666663</v>
      </c>
      <c r="AK58" s="166">
        <v>1.8276300000000001</v>
      </c>
      <c r="AM58" s="125">
        <v>0.57291666666666663</v>
      </c>
      <c r="AN58" s="166">
        <v>1.5730599999999999</v>
      </c>
      <c r="AO58" s="125">
        <v>0.57291666666666663</v>
      </c>
      <c r="AP58" s="214">
        <v>2.3505500000000001</v>
      </c>
      <c r="AQ58" s="125">
        <v>0.57291666666666663</v>
      </c>
      <c r="AR58" s="166">
        <v>3.2365599999999999</v>
      </c>
      <c r="AT58" s="125">
        <v>0.57291666666666663</v>
      </c>
      <c r="AU58" s="21"/>
      <c r="AW58" s="125">
        <v>0.57291666666666663</v>
      </c>
      <c r="AX58" s="21"/>
    </row>
    <row r="59" spans="1:50" x14ac:dyDescent="0.3">
      <c r="A59" s="123">
        <v>0.5</v>
      </c>
      <c r="B59" s="133">
        <f t="shared" si="0"/>
        <v>0</v>
      </c>
      <c r="D59" s="125">
        <v>0.58333333333333337</v>
      </c>
      <c r="E59" s="166"/>
      <c r="F59" s="125">
        <v>0.58333333333333337</v>
      </c>
      <c r="G59" s="166"/>
      <c r="H59" s="125">
        <v>0.58333333333333337</v>
      </c>
      <c r="I59" s="166"/>
      <c r="K59" s="125">
        <v>0.58333333333333337</v>
      </c>
      <c r="L59" s="166"/>
      <c r="M59" s="125">
        <v>0.58333333333333337</v>
      </c>
      <c r="N59" s="166"/>
      <c r="O59" s="125">
        <v>0.58333333333333337</v>
      </c>
      <c r="P59" s="166"/>
      <c r="R59" s="125">
        <v>0.58333333333333337</v>
      </c>
      <c r="S59" s="166">
        <v>1.8926099999999999</v>
      </c>
      <c r="T59" s="125">
        <v>0.58333333333333337</v>
      </c>
      <c r="U59" s="166">
        <v>3.12845</v>
      </c>
      <c r="V59" s="125">
        <v>0.58333333333333337</v>
      </c>
      <c r="W59" s="166">
        <v>2.7978700000000001</v>
      </c>
      <c r="Y59" s="125">
        <v>0.58333333333333337</v>
      </c>
      <c r="Z59" s="166"/>
      <c r="AA59" s="125">
        <v>0.58333333333333337</v>
      </c>
      <c r="AB59" s="166"/>
      <c r="AC59" s="125">
        <v>0.58333333333333337</v>
      </c>
      <c r="AD59" s="166"/>
      <c r="AF59" s="125">
        <v>0.58333333333333337</v>
      </c>
      <c r="AG59" s="166">
        <v>2.07281</v>
      </c>
      <c r="AH59" s="125">
        <v>0.58333333333333337</v>
      </c>
      <c r="AI59" s="208">
        <v>1.4113199999999999</v>
      </c>
      <c r="AJ59" s="125">
        <v>0.58333333333333337</v>
      </c>
      <c r="AK59" s="166">
        <v>1.8276300000000001</v>
      </c>
      <c r="AM59" s="125">
        <v>0.58333333333333337</v>
      </c>
      <c r="AN59" s="166">
        <v>1.5730599999999999</v>
      </c>
      <c r="AO59" s="125">
        <v>0.58333333333333337</v>
      </c>
      <c r="AP59" s="214">
        <v>2.3505500000000001</v>
      </c>
      <c r="AQ59" s="125">
        <v>0.58333333333333337</v>
      </c>
      <c r="AR59" s="166">
        <v>3.2365599999999999</v>
      </c>
      <c r="AT59" s="125">
        <v>0.58333333333333337</v>
      </c>
      <c r="AU59" s="21"/>
      <c r="AW59" s="125">
        <v>0.58333333333333337</v>
      </c>
      <c r="AX59" s="21"/>
    </row>
    <row r="60" spans="1:50" x14ac:dyDescent="0.3">
      <c r="A60" s="123">
        <v>0.51041666666666663</v>
      </c>
      <c r="B60" s="133">
        <f t="shared" si="0"/>
        <v>0</v>
      </c>
      <c r="D60" s="125">
        <v>0.59375</v>
      </c>
      <c r="E60" s="166"/>
      <c r="F60" s="125">
        <v>0.59375</v>
      </c>
      <c r="G60" s="166"/>
      <c r="H60" s="125">
        <v>0.59375</v>
      </c>
      <c r="I60" s="166"/>
      <c r="K60" s="125">
        <v>0.59375</v>
      </c>
      <c r="L60" s="166"/>
      <c r="M60" s="125">
        <v>0.59375</v>
      </c>
      <c r="N60" s="166"/>
      <c r="O60" s="125">
        <v>0.59375</v>
      </c>
      <c r="P60" s="166"/>
      <c r="R60" s="125">
        <v>0.59375</v>
      </c>
      <c r="S60" s="166">
        <v>1.5552699999999999</v>
      </c>
      <c r="T60" s="125">
        <v>0.59375</v>
      </c>
      <c r="U60" s="166">
        <v>2.8041</v>
      </c>
      <c r="V60" s="125">
        <v>0.59375</v>
      </c>
      <c r="W60" s="166">
        <v>3.0286200000000001</v>
      </c>
      <c r="Y60" s="125">
        <v>0.59375</v>
      </c>
      <c r="Z60" s="166"/>
      <c r="AA60" s="125">
        <v>0.59375</v>
      </c>
      <c r="AB60" s="166"/>
      <c r="AC60" s="125">
        <v>0.59375</v>
      </c>
      <c r="AD60" s="166"/>
      <c r="AF60" s="125">
        <v>0.59375</v>
      </c>
      <c r="AG60" s="166">
        <v>0.937832</v>
      </c>
      <c r="AH60" s="125">
        <v>0.59375</v>
      </c>
      <c r="AI60" s="208">
        <v>1.3053300000000001</v>
      </c>
      <c r="AJ60" s="125">
        <v>0.59375</v>
      </c>
      <c r="AK60" s="166">
        <v>2.2506900000000001</v>
      </c>
      <c r="AM60" s="125">
        <v>0.59375</v>
      </c>
      <c r="AN60" s="166">
        <v>1.9187000000000001</v>
      </c>
      <c r="AO60" s="125">
        <v>0.59375</v>
      </c>
      <c r="AP60" s="214">
        <v>4.9880699999999996</v>
      </c>
      <c r="AQ60" s="125">
        <v>0.59375</v>
      </c>
      <c r="AR60" s="166">
        <v>3.2454900000000002</v>
      </c>
      <c r="AT60" s="125">
        <v>0.59375</v>
      </c>
      <c r="AU60" s="21"/>
      <c r="AW60" s="125">
        <v>0.59375</v>
      </c>
      <c r="AX60" s="21"/>
    </row>
    <row r="61" spans="1:50" x14ac:dyDescent="0.3">
      <c r="A61" s="123">
        <v>0.52083333333333337</v>
      </c>
      <c r="B61" s="133">
        <f t="shared" si="0"/>
        <v>0</v>
      </c>
      <c r="D61" s="125">
        <v>0.60416666666666663</v>
      </c>
      <c r="E61" s="166"/>
      <c r="F61" s="125">
        <v>0.60416666666666663</v>
      </c>
      <c r="G61" s="166"/>
      <c r="H61" s="125">
        <v>0.60416666666666663</v>
      </c>
      <c r="I61" s="166"/>
      <c r="K61" s="125">
        <v>0.60416666666666663</v>
      </c>
      <c r="L61" s="166"/>
      <c r="M61" s="125">
        <v>0.60416666666666663</v>
      </c>
      <c r="N61" s="166"/>
      <c r="O61" s="125">
        <v>0.60416666666666663</v>
      </c>
      <c r="P61" s="166"/>
      <c r="R61" s="125">
        <v>0.60416666666666663</v>
      </c>
      <c r="S61" s="166">
        <v>1.5552699999999999</v>
      </c>
      <c r="T61" s="125">
        <v>0.60416666666666663</v>
      </c>
      <c r="U61" s="166">
        <v>2.8041</v>
      </c>
      <c r="V61" s="125">
        <v>0.60416666666666663</v>
      </c>
      <c r="W61" s="166">
        <v>3.0286200000000001</v>
      </c>
      <c r="Y61" s="125">
        <v>0.60416666666666663</v>
      </c>
      <c r="Z61" s="166"/>
      <c r="AA61" s="125">
        <v>0.60416666666666663</v>
      </c>
      <c r="AB61" s="166"/>
      <c r="AC61" s="125">
        <v>0.60416666666666663</v>
      </c>
      <c r="AD61" s="166"/>
      <c r="AF61" s="125">
        <v>0.60416666666666663</v>
      </c>
      <c r="AG61" s="166">
        <v>0.937832</v>
      </c>
      <c r="AH61" s="125">
        <v>0.60416666666666663</v>
      </c>
      <c r="AI61" s="208">
        <v>1.3053300000000001</v>
      </c>
      <c r="AJ61" s="125">
        <v>0.60416666666666663</v>
      </c>
      <c r="AK61" s="166">
        <v>2.2506900000000001</v>
      </c>
      <c r="AM61" s="125">
        <v>0.60416666666666663</v>
      </c>
      <c r="AN61" s="166">
        <v>1.9187000000000001</v>
      </c>
      <c r="AO61" s="125">
        <v>0.60416666666666663</v>
      </c>
      <c r="AP61" s="214">
        <v>4.9880699999999996</v>
      </c>
      <c r="AQ61" s="125">
        <v>0.60416666666666663</v>
      </c>
      <c r="AR61" s="166">
        <v>3.2454900000000002</v>
      </c>
      <c r="AT61" s="125">
        <v>0.60416666666666663</v>
      </c>
      <c r="AU61" s="21"/>
      <c r="AW61" s="125">
        <v>0.60416666666666663</v>
      </c>
      <c r="AX61" s="21"/>
    </row>
    <row r="62" spans="1:50" x14ac:dyDescent="0.3">
      <c r="A62" s="123">
        <v>0.53125</v>
      </c>
      <c r="B62" s="133">
        <f t="shared" si="0"/>
        <v>0</v>
      </c>
      <c r="D62" s="125">
        <v>0.61458333333333337</v>
      </c>
      <c r="E62" s="166"/>
      <c r="F62" s="125">
        <v>0.61458333333333337</v>
      </c>
      <c r="G62" s="166"/>
      <c r="H62" s="125">
        <v>0.61458333333333337</v>
      </c>
      <c r="I62" s="166"/>
      <c r="K62" s="125">
        <v>0.61458333333333337</v>
      </c>
      <c r="L62" s="166"/>
      <c r="M62" s="125">
        <v>0.61458333333333337</v>
      </c>
      <c r="N62" s="166"/>
      <c r="O62" s="125">
        <v>0.61458333333333337</v>
      </c>
      <c r="P62" s="166"/>
      <c r="R62" s="125">
        <v>0.61458333333333337</v>
      </c>
      <c r="S62" s="166">
        <v>1.5552699999999999</v>
      </c>
      <c r="T62" s="125">
        <v>0.61458333333333337</v>
      </c>
      <c r="U62" s="166">
        <v>2.8041</v>
      </c>
      <c r="V62" s="125">
        <v>0.61458333333333337</v>
      </c>
      <c r="W62" s="166">
        <v>3.0286200000000001</v>
      </c>
      <c r="Y62" s="125">
        <v>0.61458333333333337</v>
      </c>
      <c r="Z62" s="166"/>
      <c r="AA62" s="125">
        <v>0.61458333333333337</v>
      </c>
      <c r="AB62" s="166"/>
      <c r="AC62" s="125">
        <v>0.61458333333333337</v>
      </c>
      <c r="AD62" s="166"/>
      <c r="AF62" s="125">
        <v>0.61458333333333337</v>
      </c>
      <c r="AG62" s="166">
        <v>0.937832</v>
      </c>
      <c r="AH62" s="125">
        <v>0.61458333333333337</v>
      </c>
      <c r="AI62" s="208">
        <v>1.3053300000000001</v>
      </c>
      <c r="AJ62" s="125">
        <v>0.61458333333333337</v>
      </c>
      <c r="AK62" s="166">
        <v>2.2506900000000001</v>
      </c>
      <c r="AM62" s="125">
        <v>0.61458333333333337</v>
      </c>
      <c r="AN62" s="166">
        <v>1.9187000000000001</v>
      </c>
      <c r="AO62" s="125">
        <v>0.61458333333333337</v>
      </c>
      <c r="AP62" s="214">
        <v>4.9880699999999996</v>
      </c>
      <c r="AQ62" s="125">
        <v>0.61458333333333337</v>
      </c>
      <c r="AR62" s="166">
        <v>3.2454900000000002</v>
      </c>
      <c r="AT62" s="125">
        <v>0.61458333333333337</v>
      </c>
      <c r="AU62" s="21"/>
      <c r="AW62" s="125">
        <v>0.61458333333333337</v>
      </c>
      <c r="AX62" s="21"/>
    </row>
    <row r="63" spans="1:50" x14ac:dyDescent="0.3">
      <c r="A63" s="123">
        <v>0.54166666666666663</v>
      </c>
      <c r="B63" s="133">
        <f t="shared" si="0"/>
        <v>0</v>
      </c>
      <c r="D63" s="125">
        <v>0.625</v>
      </c>
      <c r="E63" s="166"/>
      <c r="F63" s="125">
        <v>0.625</v>
      </c>
      <c r="G63" s="166"/>
      <c r="H63" s="125">
        <v>0.625</v>
      </c>
      <c r="I63" s="166"/>
      <c r="K63" s="125">
        <v>0.625</v>
      </c>
      <c r="L63" s="166"/>
      <c r="M63" s="125">
        <v>0.625</v>
      </c>
      <c r="N63" s="166"/>
      <c r="O63" s="125">
        <v>0.625</v>
      </c>
      <c r="P63" s="166"/>
      <c r="R63" s="125">
        <v>0.625</v>
      </c>
      <c r="S63" s="166">
        <v>1.5552699999999999</v>
      </c>
      <c r="T63" s="125">
        <v>0.625</v>
      </c>
      <c r="U63" s="166">
        <v>2.8041</v>
      </c>
      <c r="V63" s="125">
        <v>0.625</v>
      </c>
      <c r="W63" s="166">
        <v>3.0286200000000001</v>
      </c>
      <c r="Y63" s="125">
        <v>0.625</v>
      </c>
      <c r="Z63" s="166"/>
      <c r="AA63" s="125">
        <v>0.625</v>
      </c>
      <c r="AB63" s="166"/>
      <c r="AC63" s="125">
        <v>0.625</v>
      </c>
      <c r="AD63" s="166"/>
      <c r="AF63" s="125">
        <v>0.625</v>
      </c>
      <c r="AG63" s="166">
        <v>0.937832</v>
      </c>
      <c r="AH63" s="125">
        <v>0.625</v>
      </c>
      <c r="AI63" s="208">
        <v>1.3053300000000001</v>
      </c>
      <c r="AJ63" s="125">
        <v>0.625</v>
      </c>
      <c r="AK63" s="166">
        <v>2.2506900000000001</v>
      </c>
      <c r="AM63" s="125">
        <v>0.625</v>
      </c>
      <c r="AN63" s="166">
        <v>1.9187000000000001</v>
      </c>
      <c r="AO63" s="125">
        <v>0.625</v>
      </c>
      <c r="AP63" s="214">
        <v>4.9880699999999996</v>
      </c>
      <c r="AQ63" s="125">
        <v>0.625</v>
      </c>
      <c r="AR63" s="166">
        <v>3.2454900000000002</v>
      </c>
      <c r="AT63" s="125">
        <v>0.625</v>
      </c>
      <c r="AU63" s="21"/>
      <c r="AW63" s="125">
        <v>0.625</v>
      </c>
      <c r="AX63" s="21"/>
    </row>
    <row r="64" spans="1:50" x14ac:dyDescent="0.3">
      <c r="A64" s="123">
        <v>0.55208333333333337</v>
      </c>
      <c r="B64" s="133">
        <f t="shared" si="0"/>
        <v>0</v>
      </c>
      <c r="D64" s="125">
        <v>0.63541666666666663</v>
      </c>
      <c r="E64" s="166"/>
      <c r="F64" s="125">
        <v>0.63541666666666663</v>
      </c>
      <c r="G64" s="166"/>
      <c r="H64" s="125">
        <v>0.63541666666666663</v>
      </c>
      <c r="I64" s="166"/>
      <c r="K64" s="125">
        <v>0.63541666666666663</v>
      </c>
      <c r="L64" s="166"/>
      <c r="M64" s="125">
        <v>0.63541666666666663</v>
      </c>
      <c r="N64" s="166"/>
      <c r="O64" s="125">
        <v>0.63541666666666663</v>
      </c>
      <c r="P64" s="166"/>
      <c r="R64" s="125">
        <v>0.63541666666666663</v>
      </c>
      <c r="S64" s="166">
        <v>1.92883</v>
      </c>
      <c r="T64" s="125">
        <v>0.63541666666666663</v>
      </c>
      <c r="U64" s="166">
        <v>2.5287199999999999</v>
      </c>
      <c r="V64" s="125">
        <v>0.63541666666666663</v>
      </c>
      <c r="W64" s="166">
        <v>3.2008399999999999</v>
      </c>
      <c r="Y64" s="125">
        <v>0.63541666666666663</v>
      </c>
      <c r="Z64" s="166"/>
      <c r="AA64" s="125">
        <v>0.63541666666666663</v>
      </c>
      <c r="AB64" s="166"/>
      <c r="AC64" s="125">
        <v>0.63541666666666663</v>
      </c>
      <c r="AD64" s="166"/>
      <c r="AF64" s="125">
        <v>0.63541666666666663</v>
      </c>
      <c r="AG64" s="166">
        <v>0.89854999999999996</v>
      </c>
      <c r="AH64" s="125">
        <v>0.63541666666666663</v>
      </c>
      <c r="AI64" s="208">
        <v>1.66601</v>
      </c>
      <c r="AJ64" s="125">
        <v>0.63541666666666663</v>
      </c>
      <c r="AK64" s="166">
        <v>1.5969800000000001</v>
      </c>
      <c r="AM64" s="125">
        <v>0.63541666666666663</v>
      </c>
      <c r="AN64" s="166">
        <v>1.81511</v>
      </c>
      <c r="AO64" s="125">
        <v>0.63541666666666663</v>
      </c>
      <c r="AP64" s="214">
        <v>2.7477999999999998</v>
      </c>
      <c r="AQ64" s="125">
        <v>0.63541666666666663</v>
      </c>
      <c r="AR64" s="166">
        <v>4.0709900000000001</v>
      </c>
      <c r="AT64" s="125">
        <v>0.63541666666666663</v>
      </c>
      <c r="AU64" s="21"/>
      <c r="AW64" s="125">
        <v>0.63541666666666663</v>
      </c>
      <c r="AX64" s="21"/>
    </row>
    <row r="65" spans="1:50" x14ac:dyDescent="0.3">
      <c r="A65" s="123">
        <v>0.5625</v>
      </c>
      <c r="B65" s="133">
        <f t="shared" si="0"/>
        <v>0</v>
      </c>
      <c r="D65" s="125">
        <v>0.64583333333333337</v>
      </c>
      <c r="E65" s="166"/>
      <c r="F65" s="125">
        <v>0.64583333333333337</v>
      </c>
      <c r="G65" s="166"/>
      <c r="H65" s="125">
        <v>0.64583333333333337</v>
      </c>
      <c r="I65" s="166"/>
      <c r="K65" s="125">
        <v>0.64583333333333337</v>
      </c>
      <c r="L65" s="166"/>
      <c r="M65" s="125">
        <v>0.64583333333333337</v>
      </c>
      <c r="N65" s="166"/>
      <c r="O65" s="125">
        <v>0.64583333333333337</v>
      </c>
      <c r="P65" s="166"/>
      <c r="R65" s="125">
        <v>0.64583333333333337</v>
      </c>
      <c r="S65" s="166">
        <v>1.92883</v>
      </c>
      <c r="T65" s="125">
        <v>0.64583333333333337</v>
      </c>
      <c r="U65" s="166">
        <v>2.5287199999999999</v>
      </c>
      <c r="V65" s="125">
        <v>0.64583333333333337</v>
      </c>
      <c r="W65" s="166">
        <v>3.2008399999999999</v>
      </c>
      <c r="Y65" s="125">
        <v>0.64583333333333337</v>
      </c>
      <c r="Z65" s="166"/>
      <c r="AA65" s="125">
        <v>0.64583333333333337</v>
      </c>
      <c r="AB65" s="166"/>
      <c r="AC65" s="125">
        <v>0.64583333333333337</v>
      </c>
      <c r="AD65" s="166"/>
      <c r="AF65" s="125">
        <v>0.64583333333333337</v>
      </c>
      <c r="AG65" s="166">
        <v>0.89854999999999996</v>
      </c>
      <c r="AH65" s="125">
        <v>0.64583333333333337</v>
      </c>
      <c r="AI65" s="208">
        <v>1.66601</v>
      </c>
      <c r="AJ65" s="125">
        <v>0.64583333333333337</v>
      </c>
      <c r="AK65" s="166">
        <v>1.5969800000000001</v>
      </c>
      <c r="AM65" s="125">
        <v>0.64583333333333337</v>
      </c>
      <c r="AN65" s="166">
        <v>1.81511</v>
      </c>
      <c r="AO65" s="125">
        <v>0.64583333333333337</v>
      </c>
      <c r="AP65" s="214">
        <v>2.7477999999999998</v>
      </c>
      <c r="AQ65" s="125">
        <v>0.64583333333333337</v>
      </c>
      <c r="AR65" s="166">
        <v>4.0709900000000001</v>
      </c>
      <c r="AT65" s="125">
        <v>0.64583333333333337</v>
      </c>
      <c r="AU65" s="21"/>
      <c r="AW65" s="125">
        <v>0.64583333333333337</v>
      </c>
      <c r="AX65" s="21"/>
    </row>
    <row r="66" spans="1:50" x14ac:dyDescent="0.3">
      <c r="A66" s="123">
        <v>0.57291666666666663</v>
      </c>
      <c r="B66" s="133">
        <f t="shared" si="0"/>
        <v>0</v>
      </c>
      <c r="D66" s="125">
        <v>0.65625</v>
      </c>
      <c r="E66" s="166"/>
      <c r="F66" s="125">
        <v>0.65625</v>
      </c>
      <c r="G66" s="166"/>
      <c r="H66" s="125">
        <v>0.65625</v>
      </c>
      <c r="I66" s="166"/>
      <c r="K66" s="125">
        <v>0.65625</v>
      </c>
      <c r="L66" s="166"/>
      <c r="M66" s="125">
        <v>0.65625</v>
      </c>
      <c r="N66" s="166"/>
      <c r="O66" s="125">
        <v>0.65625</v>
      </c>
      <c r="P66" s="166"/>
      <c r="R66" s="125">
        <v>0.65625</v>
      </c>
      <c r="S66" s="166">
        <v>1.92883</v>
      </c>
      <c r="T66" s="125">
        <v>0.65625</v>
      </c>
      <c r="U66" s="166">
        <v>2.5287199999999999</v>
      </c>
      <c r="V66" s="125">
        <v>0.65625</v>
      </c>
      <c r="W66" s="166">
        <v>3.2008399999999999</v>
      </c>
      <c r="Y66" s="125">
        <v>0.65625</v>
      </c>
      <c r="Z66" s="166"/>
      <c r="AA66" s="125">
        <v>0.65625</v>
      </c>
      <c r="AB66" s="166"/>
      <c r="AC66" s="125">
        <v>0.65625</v>
      </c>
      <c r="AD66" s="166"/>
      <c r="AF66" s="125">
        <v>0.65625</v>
      </c>
      <c r="AG66" s="166">
        <v>0.89854999999999996</v>
      </c>
      <c r="AH66" s="125">
        <v>0.65625</v>
      </c>
      <c r="AI66" s="208">
        <v>1.66601</v>
      </c>
      <c r="AJ66" s="125">
        <v>0.65625</v>
      </c>
      <c r="AK66" s="166">
        <v>1.5969800000000001</v>
      </c>
      <c r="AM66" s="125">
        <v>0.65625</v>
      </c>
      <c r="AN66" s="166">
        <v>1.81511</v>
      </c>
      <c r="AO66" s="125">
        <v>0.65625</v>
      </c>
      <c r="AP66" s="214">
        <v>2.7477999999999998</v>
      </c>
      <c r="AQ66" s="125">
        <v>0.65625</v>
      </c>
      <c r="AR66" s="166">
        <v>4.0709900000000001</v>
      </c>
      <c r="AT66" s="125">
        <v>0.65625</v>
      </c>
      <c r="AU66" s="21"/>
      <c r="AW66" s="125">
        <v>0.65625</v>
      </c>
      <c r="AX66" s="21"/>
    </row>
    <row r="67" spans="1:50" x14ac:dyDescent="0.3">
      <c r="A67" s="123">
        <v>0.58333333333333337</v>
      </c>
      <c r="B67" s="133">
        <f t="shared" si="0"/>
        <v>0</v>
      </c>
      <c r="D67" s="125">
        <v>0.66666666666666663</v>
      </c>
      <c r="E67" s="166"/>
      <c r="F67" s="125">
        <v>0.66666666666666663</v>
      </c>
      <c r="G67" s="166"/>
      <c r="H67" s="125">
        <v>0.66666666666666663</v>
      </c>
      <c r="I67" s="166"/>
      <c r="K67" s="125">
        <v>0.66666666666666663</v>
      </c>
      <c r="L67" s="166"/>
      <c r="M67" s="125">
        <v>0.66666666666666663</v>
      </c>
      <c r="N67" s="166"/>
      <c r="O67" s="125">
        <v>0.66666666666666663</v>
      </c>
      <c r="P67" s="166"/>
      <c r="R67" s="125">
        <v>0.66666666666666663</v>
      </c>
      <c r="S67" s="166">
        <v>1.92883</v>
      </c>
      <c r="T67" s="125">
        <v>0.66666666666666663</v>
      </c>
      <c r="U67" s="166">
        <v>2.5287199999999999</v>
      </c>
      <c r="V67" s="125">
        <v>0.66666666666666663</v>
      </c>
      <c r="W67" s="166">
        <v>3.2008399999999999</v>
      </c>
      <c r="Y67" s="125">
        <v>0.66666666666666663</v>
      </c>
      <c r="Z67" s="166"/>
      <c r="AA67" s="125">
        <v>0.66666666666666663</v>
      </c>
      <c r="AB67" s="166"/>
      <c r="AC67" s="125">
        <v>0.66666666666666663</v>
      </c>
      <c r="AD67" s="166"/>
      <c r="AF67" s="125">
        <v>0.66666666666666663</v>
      </c>
      <c r="AG67" s="166">
        <v>0.89854999999999996</v>
      </c>
      <c r="AH67" s="125">
        <v>0.66666666666666663</v>
      </c>
      <c r="AI67" s="208">
        <v>1.66601</v>
      </c>
      <c r="AJ67" s="125">
        <v>0.66666666666666663</v>
      </c>
      <c r="AK67" s="166">
        <v>1.5969800000000001</v>
      </c>
      <c r="AM67" s="125">
        <v>0.66666666666666663</v>
      </c>
      <c r="AN67" s="166">
        <v>1.81511</v>
      </c>
      <c r="AO67" s="125">
        <v>0.66666666666666663</v>
      </c>
      <c r="AP67" s="214">
        <v>2.7477999999999998</v>
      </c>
      <c r="AQ67" s="125">
        <v>0.66666666666666663</v>
      </c>
      <c r="AR67" s="166">
        <v>4.0709900000000001</v>
      </c>
      <c r="AT67" s="125">
        <v>0.66666666666666663</v>
      </c>
      <c r="AU67" s="21"/>
      <c r="AW67" s="125">
        <v>0.66666666666666663</v>
      </c>
      <c r="AX67" s="21"/>
    </row>
    <row r="68" spans="1:50" x14ac:dyDescent="0.3">
      <c r="A68" s="123">
        <v>0.59375</v>
      </c>
      <c r="B68" s="133">
        <f t="shared" si="0"/>
        <v>0</v>
      </c>
      <c r="D68" s="125">
        <v>0.67708333333333337</v>
      </c>
      <c r="E68" s="166"/>
      <c r="F68" s="125">
        <v>0.67708333333333337</v>
      </c>
      <c r="G68" s="166"/>
      <c r="H68" s="125">
        <v>0.67708333333333337</v>
      </c>
      <c r="I68" s="166"/>
      <c r="K68" s="125">
        <v>0.67708333333333337</v>
      </c>
      <c r="L68" s="166"/>
      <c r="M68" s="125">
        <v>0.67708333333333337</v>
      </c>
      <c r="N68" s="166"/>
      <c r="O68" s="125">
        <v>0.67708333333333337</v>
      </c>
      <c r="P68" s="166"/>
      <c r="R68" s="125">
        <v>0.67708333333333337</v>
      </c>
      <c r="S68" s="166">
        <v>1.7994600000000001</v>
      </c>
      <c r="T68" s="125">
        <v>0.67708333333333337</v>
      </c>
      <c r="U68" s="166">
        <v>2.7988900000000001</v>
      </c>
      <c r="V68" s="125">
        <v>0.67708333333333337</v>
      </c>
      <c r="W68" s="166">
        <v>4.5789099999999996</v>
      </c>
      <c r="Y68" s="125">
        <v>0.67708333333333337</v>
      </c>
      <c r="Z68" s="166"/>
      <c r="AA68" s="125">
        <v>0.67708333333333337</v>
      </c>
      <c r="AB68" s="166"/>
      <c r="AC68" s="125">
        <v>0.67708333333333337</v>
      </c>
      <c r="AD68" s="166"/>
      <c r="AF68" s="125">
        <v>0.67708333333333337</v>
      </c>
      <c r="AG68" s="166">
        <v>0.97900399999999999</v>
      </c>
      <c r="AH68" s="125">
        <v>0.67708333333333337</v>
      </c>
      <c r="AI68" s="208">
        <v>1.3724400000000001</v>
      </c>
      <c r="AJ68" s="125">
        <v>0.67708333333333337</v>
      </c>
      <c r="AK68" s="166">
        <v>1.7697400000000001</v>
      </c>
      <c r="AM68" s="125">
        <v>0.67708333333333337</v>
      </c>
      <c r="AN68" s="166">
        <v>2.02197</v>
      </c>
      <c r="AO68" s="125">
        <v>0.67708333333333337</v>
      </c>
      <c r="AP68" s="214">
        <v>3.11443</v>
      </c>
      <c r="AQ68" s="125">
        <v>0.67708333333333337</v>
      </c>
      <c r="AR68" s="166">
        <v>3.9697499999999999</v>
      </c>
      <c r="AT68" s="125">
        <v>0.67708333333333337</v>
      </c>
      <c r="AU68" s="21"/>
      <c r="AW68" s="125">
        <v>0.67708333333333337</v>
      </c>
      <c r="AX68" s="21"/>
    </row>
    <row r="69" spans="1:50" x14ac:dyDescent="0.3">
      <c r="A69" s="123">
        <v>0.60416666666666663</v>
      </c>
      <c r="B69" s="133">
        <f t="shared" si="0"/>
        <v>0</v>
      </c>
      <c r="D69" s="125">
        <v>0.6875</v>
      </c>
      <c r="E69" s="166"/>
      <c r="F69" s="125">
        <v>0.6875</v>
      </c>
      <c r="G69" s="166"/>
      <c r="H69" s="125">
        <v>0.6875</v>
      </c>
      <c r="I69" s="166"/>
      <c r="K69" s="125">
        <v>0.6875</v>
      </c>
      <c r="L69" s="166"/>
      <c r="M69" s="125">
        <v>0.6875</v>
      </c>
      <c r="N69" s="166"/>
      <c r="O69" s="125">
        <v>0.6875</v>
      </c>
      <c r="P69" s="166"/>
      <c r="R69" s="125">
        <v>0.6875</v>
      </c>
      <c r="S69" s="166">
        <v>1.7994600000000001</v>
      </c>
      <c r="T69" s="125">
        <v>0.6875</v>
      </c>
      <c r="U69" s="166">
        <v>2.7988900000000001</v>
      </c>
      <c r="V69" s="125">
        <v>0.6875</v>
      </c>
      <c r="W69" s="166">
        <v>4.5789099999999996</v>
      </c>
      <c r="Y69" s="125">
        <v>0.6875</v>
      </c>
      <c r="Z69" s="166"/>
      <c r="AA69" s="125">
        <v>0.6875</v>
      </c>
      <c r="AB69" s="166"/>
      <c r="AC69" s="125">
        <v>0.6875</v>
      </c>
      <c r="AD69" s="166"/>
      <c r="AF69" s="125">
        <v>0.6875</v>
      </c>
      <c r="AG69" s="166">
        <v>0.97900399999999999</v>
      </c>
      <c r="AH69" s="125">
        <v>0.6875</v>
      </c>
      <c r="AI69" s="208">
        <v>1.3724400000000001</v>
      </c>
      <c r="AJ69" s="125">
        <v>0.6875</v>
      </c>
      <c r="AK69" s="166">
        <v>1.7697400000000001</v>
      </c>
      <c r="AM69" s="125">
        <v>0.6875</v>
      </c>
      <c r="AN69" s="166">
        <v>2.02197</v>
      </c>
      <c r="AO69" s="125">
        <v>0.6875</v>
      </c>
      <c r="AP69" s="214">
        <v>3.11443</v>
      </c>
      <c r="AQ69" s="125">
        <v>0.6875</v>
      </c>
      <c r="AR69" s="166">
        <v>3.9697499999999999</v>
      </c>
      <c r="AT69" s="125">
        <v>0.6875</v>
      </c>
      <c r="AU69" s="21"/>
      <c r="AW69" s="125">
        <v>0.6875</v>
      </c>
      <c r="AX69" s="21"/>
    </row>
    <row r="70" spans="1:50" x14ac:dyDescent="0.3">
      <c r="A70" s="123">
        <v>0.61458333333333337</v>
      </c>
      <c r="B70" s="133">
        <f t="shared" si="0"/>
        <v>0</v>
      </c>
      <c r="D70" s="125">
        <v>0.69791666666666663</v>
      </c>
      <c r="E70" s="166"/>
      <c r="F70" s="125">
        <v>0.69791666666666663</v>
      </c>
      <c r="G70" s="166"/>
      <c r="H70" s="125">
        <v>0.69791666666666663</v>
      </c>
      <c r="I70" s="166"/>
      <c r="K70" s="125">
        <v>0.69791666666666663</v>
      </c>
      <c r="L70" s="166"/>
      <c r="M70" s="125">
        <v>0.69791666666666663</v>
      </c>
      <c r="N70" s="166"/>
      <c r="O70" s="125">
        <v>0.69791666666666663</v>
      </c>
      <c r="P70" s="166"/>
      <c r="R70" s="125">
        <v>0.69791666666666663</v>
      </c>
      <c r="S70" s="166">
        <v>1.7994600000000001</v>
      </c>
      <c r="T70" s="125">
        <v>0.69791666666666663</v>
      </c>
      <c r="U70" s="166">
        <v>2.7988900000000001</v>
      </c>
      <c r="V70" s="125">
        <v>0.69791666666666663</v>
      </c>
      <c r="W70" s="166">
        <v>4.5789099999999996</v>
      </c>
      <c r="Y70" s="125">
        <v>0.69791666666666663</v>
      </c>
      <c r="Z70" s="166"/>
      <c r="AA70" s="125">
        <v>0.69791666666666663</v>
      </c>
      <c r="AB70" s="166"/>
      <c r="AC70" s="125">
        <v>0.69791666666666663</v>
      </c>
      <c r="AD70" s="166"/>
      <c r="AF70" s="125">
        <v>0.69791666666666663</v>
      </c>
      <c r="AG70" s="166">
        <v>0.97900399999999999</v>
      </c>
      <c r="AH70" s="125">
        <v>0.69791666666666663</v>
      </c>
      <c r="AI70" s="208">
        <v>1.3724400000000001</v>
      </c>
      <c r="AJ70" s="125">
        <v>0.69791666666666663</v>
      </c>
      <c r="AK70" s="166">
        <v>1.7697400000000001</v>
      </c>
      <c r="AM70" s="125">
        <v>0.69791666666666663</v>
      </c>
      <c r="AN70" s="166">
        <v>2.02197</v>
      </c>
      <c r="AO70" s="125">
        <v>0.69791666666666663</v>
      </c>
      <c r="AP70" s="214">
        <v>3.11443</v>
      </c>
      <c r="AQ70" s="125">
        <v>0.69791666666666663</v>
      </c>
      <c r="AR70" s="166">
        <v>3.9697499999999999</v>
      </c>
      <c r="AT70" s="125">
        <v>0.69791666666666663</v>
      </c>
      <c r="AU70" s="21"/>
      <c r="AW70" s="125">
        <v>0.69791666666666663</v>
      </c>
      <c r="AX70" s="21"/>
    </row>
    <row r="71" spans="1:50" x14ac:dyDescent="0.3">
      <c r="A71" s="123">
        <v>0.625</v>
      </c>
      <c r="B71" s="133">
        <f t="shared" si="0"/>
        <v>0</v>
      </c>
      <c r="D71" s="125">
        <v>0.70833333333333337</v>
      </c>
      <c r="E71" s="166"/>
      <c r="F71" s="125">
        <v>0.70833333333333337</v>
      </c>
      <c r="G71" s="166"/>
      <c r="H71" s="125">
        <v>0.70833333333333337</v>
      </c>
      <c r="I71" s="166"/>
      <c r="K71" s="125">
        <v>0.70833333333333337</v>
      </c>
      <c r="L71" s="166"/>
      <c r="M71" s="125">
        <v>0.70833333333333337</v>
      </c>
      <c r="N71" s="166"/>
      <c r="O71" s="125">
        <v>0.70833333333333337</v>
      </c>
      <c r="P71" s="166"/>
      <c r="R71" s="125">
        <v>0.70833333333333337</v>
      </c>
      <c r="S71" s="166">
        <v>1.7994600000000001</v>
      </c>
      <c r="T71" s="125">
        <v>0.70833333333333337</v>
      </c>
      <c r="U71" s="166">
        <v>2.7988900000000001</v>
      </c>
      <c r="V71" s="125">
        <v>0.70833333333333337</v>
      </c>
      <c r="W71" s="166">
        <v>4.5789099999999996</v>
      </c>
      <c r="Y71" s="125">
        <v>0.70833333333333337</v>
      </c>
      <c r="Z71" s="166"/>
      <c r="AA71" s="125">
        <v>0.70833333333333337</v>
      </c>
      <c r="AB71" s="166"/>
      <c r="AC71" s="125">
        <v>0.70833333333333337</v>
      </c>
      <c r="AD71" s="166"/>
      <c r="AF71" s="125">
        <v>0.70833333333333337</v>
      </c>
      <c r="AG71" s="166">
        <v>0.97900399999999999</v>
      </c>
      <c r="AH71" s="125">
        <v>0.70833333333333337</v>
      </c>
      <c r="AI71" s="208">
        <v>1.3724400000000001</v>
      </c>
      <c r="AJ71" s="125">
        <v>0.70833333333333337</v>
      </c>
      <c r="AK71" s="166">
        <v>1.7697400000000001</v>
      </c>
      <c r="AM71" s="125">
        <v>0.70833333333333337</v>
      </c>
      <c r="AN71" s="166">
        <v>2.02197</v>
      </c>
      <c r="AO71" s="125">
        <v>0.70833333333333337</v>
      </c>
      <c r="AP71" s="214">
        <v>3.11443</v>
      </c>
      <c r="AQ71" s="125">
        <v>0.70833333333333337</v>
      </c>
      <c r="AR71" s="166">
        <v>3.9697499999999999</v>
      </c>
      <c r="AT71" s="125">
        <v>0.70833333333333337</v>
      </c>
      <c r="AU71" s="21"/>
      <c r="AW71" s="125">
        <v>0.70833333333333337</v>
      </c>
      <c r="AX71" s="21"/>
    </row>
    <row r="72" spans="1:50" x14ac:dyDescent="0.3">
      <c r="A72" s="123">
        <v>0.63541666666666663</v>
      </c>
      <c r="B72" s="133">
        <f t="shared" si="0"/>
        <v>0</v>
      </c>
      <c r="D72" s="125">
        <v>0.71875</v>
      </c>
      <c r="E72" s="166"/>
      <c r="F72" s="125">
        <v>0.71875</v>
      </c>
      <c r="G72" s="166"/>
      <c r="H72" s="125">
        <v>0.71875</v>
      </c>
      <c r="I72" s="166"/>
      <c r="K72" s="125">
        <v>0.71875</v>
      </c>
      <c r="L72" s="166"/>
      <c r="M72" s="125">
        <v>0.71875</v>
      </c>
      <c r="N72" s="166"/>
      <c r="O72" s="125">
        <v>0.71875</v>
      </c>
      <c r="P72" s="166"/>
      <c r="R72" s="125">
        <v>0.71875</v>
      </c>
      <c r="S72" s="166">
        <v>2.5127600000000001</v>
      </c>
      <c r="T72" s="125">
        <v>0.71875</v>
      </c>
      <c r="U72" s="166">
        <v>3.7123900000000001</v>
      </c>
      <c r="V72" s="125">
        <v>0.71875</v>
      </c>
      <c r="W72" s="166">
        <v>4.0316299999999998</v>
      </c>
      <c r="Y72" s="125">
        <v>0.71875</v>
      </c>
      <c r="Z72" s="166"/>
      <c r="AA72" s="125">
        <v>0.71875</v>
      </c>
      <c r="AB72" s="166"/>
      <c r="AC72" s="125">
        <v>0.71875</v>
      </c>
      <c r="AD72" s="166"/>
      <c r="AF72" s="125">
        <v>0.71875</v>
      </c>
      <c r="AG72" s="166">
        <v>2.0110100000000002</v>
      </c>
      <c r="AH72" s="125">
        <v>0.71875</v>
      </c>
      <c r="AI72" s="208">
        <v>1.9605699999999999</v>
      </c>
      <c r="AJ72" s="125">
        <v>0.71875</v>
      </c>
      <c r="AK72" s="166">
        <v>3.07612</v>
      </c>
      <c r="AM72" s="125">
        <v>0.71875</v>
      </c>
      <c r="AN72" s="166">
        <v>2.84674</v>
      </c>
      <c r="AO72" s="125">
        <v>0.71875</v>
      </c>
      <c r="AP72" s="214">
        <v>3.6433</v>
      </c>
      <c r="AQ72" s="125">
        <v>0.71875</v>
      </c>
      <c r="AR72" s="166">
        <v>4.5381600000000004</v>
      </c>
      <c r="AT72" s="125">
        <v>0.71875</v>
      </c>
      <c r="AU72" s="21"/>
      <c r="AW72" s="125">
        <v>0.71875</v>
      </c>
      <c r="AX72" s="21"/>
    </row>
    <row r="73" spans="1:50" x14ac:dyDescent="0.3">
      <c r="A73" s="123">
        <v>0.64583333333333337</v>
      </c>
      <c r="B73" s="133">
        <f t="shared" si="0"/>
        <v>0</v>
      </c>
      <c r="D73" s="125">
        <v>0.72916666666666663</v>
      </c>
      <c r="E73" s="166"/>
      <c r="F73" s="125">
        <v>0.72916666666666663</v>
      </c>
      <c r="G73" s="166"/>
      <c r="H73" s="125">
        <v>0.72916666666666663</v>
      </c>
      <c r="I73" s="166"/>
      <c r="K73" s="125">
        <v>0.72916666666666663</v>
      </c>
      <c r="L73" s="166"/>
      <c r="M73" s="125">
        <v>0.72916666666666663</v>
      </c>
      <c r="N73" s="166"/>
      <c r="O73" s="125">
        <v>0.72916666666666663</v>
      </c>
      <c r="P73" s="166"/>
      <c r="R73" s="125">
        <v>0.72916666666666663</v>
      </c>
      <c r="S73" s="166">
        <v>2.5127600000000001</v>
      </c>
      <c r="T73" s="125">
        <v>0.72916666666666663</v>
      </c>
      <c r="U73" s="166">
        <v>3.7123900000000001</v>
      </c>
      <c r="V73" s="125">
        <v>0.72916666666666663</v>
      </c>
      <c r="W73" s="166">
        <v>4.0316299999999998</v>
      </c>
      <c r="Y73" s="125">
        <v>0.72916666666666663</v>
      </c>
      <c r="Z73" s="166"/>
      <c r="AA73" s="125">
        <v>0.72916666666666663</v>
      </c>
      <c r="AB73" s="166"/>
      <c r="AC73" s="125">
        <v>0.72916666666666663</v>
      </c>
      <c r="AD73" s="166"/>
      <c r="AF73" s="125">
        <v>0.72916666666666663</v>
      </c>
      <c r="AG73" s="166">
        <v>2.0110100000000002</v>
      </c>
      <c r="AH73" s="125">
        <v>0.72916666666666663</v>
      </c>
      <c r="AI73" s="208">
        <v>1.9605699999999999</v>
      </c>
      <c r="AJ73" s="125">
        <v>0.72916666666666663</v>
      </c>
      <c r="AK73" s="166">
        <v>3.07612</v>
      </c>
      <c r="AM73" s="125">
        <v>0.72916666666666663</v>
      </c>
      <c r="AN73" s="166">
        <v>2.84674</v>
      </c>
      <c r="AO73" s="125">
        <v>0.72916666666666663</v>
      </c>
      <c r="AP73" s="214">
        <v>3.6433</v>
      </c>
      <c r="AQ73" s="125">
        <v>0.72916666666666663</v>
      </c>
      <c r="AR73" s="166">
        <v>4.5381600000000004</v>
      </c>
      <c r="AT73" s="125">
        <v>0.72916666666666663</v>
      </c>
      <c r="AU73" s="21"/>
      <c r="AW73" s="125">
        <v>0.72916666666666663</v>
      </c>
      <c r="AX73" s="21"/>
    </row>
    <row r="74" spans="1:50" x14ac:dyDescent="0.3">
      <c r="A74" s="123">
        <v>0.65625</v>
      </c>
      <c r="B74" s="133">
        <f t="shared" si="0"/>
        <v>0</v>
      </c>
      <c r="D74" s="125">
        <v>0.73958333333333337</v>
      </c>
      <c r="E74" s="166"/>
      <c r="F74" s="125">
        <v>0.73958333333333337</v>
      </c>
      <c r="G74" s="166"/>
      <c r="H74" s="125">
        <v>0.73958333333333337</v>
      </c>
      <c r="I74" s="166"/>
      <c r="K74" s="125">
        <v>0.73958333333333337</v>
      </c>
      <c r="L74" s="166"/>
      <c r="M74" s="125">
        <v>0.73958333333333337</v>
      </c>
      <c r="N74" s="166"/>
      <c r="O74" s="125">
        <v>0.73958333333333337</v>
      </c>
      <c r="P74" s="166"/>
      <c r="R74" s="125">
        <v>0.73958333333333337</v>
      </c>
      <c r="S74" s="166">
        <v>2.5127600000000001</v>
      </c>
      <c r="T74" s="125">
        <v>0.73958333333333337</v>
      </c>
      <c r="U74" s="166">
        <v>3.7123900000000001</v>
      </c>
      <c r="V74" s="125">
        <v>0.73958333333333337</v>
      </c>
      <c r="W74" s="166">
        <v>4.0316299999999998</v>
      </c>
      <c r="Y74" s="125">
        <v>0.73958333333333337</v>
      </c>
      <c r="Z74" s="166"/>
      <c r="AA74" s="125">
        <v>0.73958333333333337</v>
      </c>
      <c r="AB74" s="166"/>
      <c r="AC74" s="125">
        <v>0.73958333333333337</v>
      </c>
      <c r="AD74" s="166"/>
      <c r="AF74" s="125">
        <v>0.73958333333333337</v>
      </c>
      <c r="AG74" s="166">
        <v>2.0110100000000002</v>
      </c>
      <c r="AH74" s="125">
        <v>0.73958333333333337</v>
      </c>
      <c r="AI74" s="208">
        <v>1.9605699999999999</v>
      </c>
      <c r="AJ74" s="125">
        <v>0.73958333333333337</v>
      </c>
      <c r="AK74" s="166">
        <v>3.07612</v>
      </c>
      <c r="AM74" s="125">
        <v>0.73958333333333337</v>
      </c>
      <c r="AN74" s="166">
        <v>2.84674</v>
      </c>
      <c r="AO74" s="125">
        <v>0.73958333333333337</v>
      </c>
      <c r="AP74" s="214">
        <v>3.6433</v>
      </c>
      <c r="AQ74" s="125">
        <v>0.73958333333333337</v>
      </c>
      <c r="AR74" s="166">
        <v>4.5381600000000004</v>
      </c>
      <c r="AT74" s="125">
        <v>0.73958333333333337</v>
      </c>
      <c r="AU74" s="21"/>
      <c r="AW74" s="125">
        <v>0.73958333333333337</v>
      </c>
      <c r="AX74" s="21"/>
    </row>
    <row r="75" spans="1:50" x14ac:dyDescent="0.3">
      <c r="A75" s="123">
        <v>0.66666666666666663</v>
      </c>
      <c r="B75" s="133">
        <f t="shared" si="0"/>
        <v>0</v>
      </c>
      <c r="D75" s="125">
        <v>0.75</v>
      </c>
      <c r="E75" s="166"/>
      <c r="F75" s="125">
        <v>0.75</v>
      </c>
      <c r="G75" s="166"/>
      <c r="H75" s="125">
        <v>0.75</v>
      </c>
      <c r="I75" s="166"/>
      <c r="K75" s="125">
        <v>0.75</v>
      </c>
      <c r="L75" s="166"/>
      <c r="M75" s="125">
        <v>0.75</v>
      </c>
      <c r="N75" s="166"/>
      <c r="O75" s="125">
        <v>0.75</v>
      </c>
      <c r="P75" s="166"/>
      <c r="R75" s="125">
        <v>0.75</v>
      </c>
      <c r="S75" s="166">
        <v>2.5127600000000001</v>
      </c>
      <c r="T75" s="125">
        <v>0.75</v>
      </c>
      <c r="U75" s="166">
        <v>3.7123900000000001</v>
      </c>
      <c r="V75" s="125">
        <v>0.75</v>
      </c>
      <c r="W75" s="166">
        <v>4.0316299999999998</v>
      </c>
      <c r="Y75" s="125">
        <v>0.75</v>
      </c>
      <c r="Z75" s="166"/>
      <c r="AA75" s="125">
        <v>0.75</v>
      </c>
      <c r="AB75" s="166"/>
      <c r="AC75" s="125">
        <v>0.75</v>
      </c>
      <c r="AD75" s="166"/>
      <c r="AF75" s="125">
        <v>0.75</v>
      </c>
      <c r="AG75" s="166">
        <v>2.0110100000000002</v>
      </c>
      <c r="AH75" s="125">
        <v>0.75</v>
      </c>
      <c r="AI75" s="208">
        <v>1.9605699999999999</v>
      </c>
      <c r="AJ75" s="125">
        <v>0.75</v>
      </c>
      <c r="AK75" s="166">
        <v>3.07612</v>
      </c>
      <c r="AM75" s="125">
        <v>0.75</v>
      </c>
      <c r="AN75" s="166">
        <v>2.84674</v>
      </c>
      <c r="AO75" s="125">
        <v>0.75</v>
      </c>
      <c r="AP75" s="214">
        <v>3.6433</v>
      </c>
      <c r="AQ75" s="125">
        <v>0.75</v>
      </c>
      <c r="AR75" s="166">
        <v>4.5381600000000004</v>
      </c>
      <c r="AT75" s="125">
        <v>0.75</v>
      </c>
      <c r="AU75" s="21"/>
      <c r="AW75" s="125">
        <v>0.75</v>
      </c>
      <c r="AX75" s="21"/>
    </row>
    <row r="76" spans="1:50" x14ac:dyDescent="0.3">
      <c r="A76" s="123">
        <v>0.67708333333333337</v>
      </c>
      <c r="B76" s="133">
        <f t="shared" si="0"/>
        <v>0</v>
      </c>
      <c r="D76" s="125">
        <v>0.76041666666666663</v>
      </c>
      <c r="E76" s="166"/>
      <c r="F76" s="125">
        <v>0.76041666666666663</v>
      </c>
      <c r="G76" s="166"/>
      <c r="H76" s="125">
        <v>0.76041666666666663</v>
      </c>
      <c r="I76" s="166"/>
      <c r="K76" s="125">
        <v>0.76041666666666663</v>
      </c>
      <c r="L76" s="166"/>
      <c r="M76" s="125">
        <v>0.76041666666666663</v>
      </c>
      <c r="N76" s="166"/>
      <c r="O76" s="125">
        <v>0.76041666666666663</v>
      </c>
      <c r="P76" s="166"/>
      <c r="R76" s="125">
        <v>0.76041666666666663</v>
      </c>
      <c r="S76" s="166">
        <v>2.29732</v>
      </c>
      <c r="T76" s="125">
        <v>0.76041666666666663</v>
      </c>
      <c r="U76" s="166">
        <v>3.09721</v>
      </c>
      <c r="V76" s="125">
        <v>0.76041666666666663</v>
      </c>
      <c r="W76" s="166">
        <v>3.9096700000000002</v>
      </c>
      <c r="Y76" s="125">
        <v>0.76041666666666663</v>
      </c>
      <c r="Z76" s="166"/>
      <c r="AA76" s="125">
        <v>0.76041666666666663</v>
      </c>
      <c r="AB76" s="166"/>
      <c r="AC76" s="125">
        <v>0.76041666666666663</v>
      </c>
      <c r="AD76" s="166"/>
      <c r="AF76" s="125">
        <v>0.76041666666666663</v>
      </c>
      <c r="AG76" s="166">
        <v>1.28905</v>
      </c>
      <c r="AH76" s="125">
        <v>0.76041666666666663</v>
      </c>
      <c r="AI76" s="208">
        <v>2.6503100000000002</v>
      </c>
      <c r="AJ76" s="125">
        <v>0.76041666666666663</v>
      </c>
      <c r="AK76" s="166">
        <v>2.4320200000000001</v>
      </c>
      <c r="AM76" s="125">
        <v>0.76041666666666663</v>
      </c>
      <c r="AN76" s="166">
        <v>2.17455</v>
      </c>
      <c r="AO76" s="125">
        <v>0.76041666666666663</v>
      </c>
      <c r="AP76" s="214">
        <v>6.1815800000000003</v>
      </c>
      <c r="AQ76" s="125">
        <v>0.76041666666666663</v>
      </c>
      <c r="AR76" s="166">
        <v>4.3676700000000004</v>
      </c>
      <c r="AT76" s="125">
        <v>0.76041666666666663</v>
      </c>
      <c r="AU76" s="21"/>
      <c r="AW76" s="125">
        <v>0.76041666666666663</v>
      </c>
      <c r="AX76" s="21"/>
    </row>
    <row r="77" spans="1:50" x14ac:dyDescent="0.3">
      <c r="A77" s="123">
        <v>0.6875</v>
      </c>
      <c r="B77" s="133">
        <f t="shared" ref="B77:B107" si="1">IF($B$6=TRUE,IF(AND($B$3=$D$1,$B$9=$D$2),E69*1000,IF(AND($B$3=$D$1,$B$9=$F$2),G69*1000,IF(AND($B$3=$D$1,$B$9=$H$2),I69*1000,IF(AND($B$3=$K$1,$B$9=$K$2),L69*1000,IF(AND($B$3=$K$1,$B$9=$M$2),N69*1000,IF(AND($B$3=$K$1,$B$9=$O$2),P69*1000,IF(AND($B$3=$R$1,$B$9=$R$2),S69*1000,IF(AND($B$3=$R$1,$B$9=$T$2),U69*1000,IF(AND($B$3=$R$1,$B$9=$V$2),W69*1000,IF(AND($B$3=$Y$1,$B$9=$Y$2),Z69*1000,IF(AND($B$3=$Y$1,$B$9=$AA$2),AB69*1000,IF(AND($B$3=$Y$1,$B$9=$AC$2),AD69*1000,IF(AND($B$3=$AF$1,$B$9=$AF$2),AG69*1000,IF(AND($B$3=$AF$1,$B$9=$AH$2),AI69*1000,IF(AND($B$3=$AF$1,$B$9=$AJ$2),AK69*1000,IF(AND($B$3=$AM$1,$B$9=$AM$2),AN69*1000,IF(AND($B$3=$AM$1,$B$9=$AO$2),AP69*1000,IF(AND($B$3=$AM$1,$B$9=$AQ$2),AR69*1000,IF($B$3=$AT$2,AU69*1000,IF($B$3=$AW$2,AX69*1000,0)))))))))))))))))))),0)</f>
        <v>0</v>
      </c>
      <c r="D77" s="125">
        <v>0.77083333333333337</v>
      </c>
      <c r="E77" s="166"/>
      <c r="F77" s="125">
        <v>0.77083333333333337</v>
      </c>
      <c r="G77" s="166"/>
      <c r="H77" s="125">
        <v>0.77083333333333337</v>
      </c>
      <c r="I77" s="166"/>
      <c r="K77" s="125">
        <v>0.77083333333333337</v>
      </c>
      <c r="L77" s="166"/>
      <c r="M77" s="125">
        <v>0.77083333333333337</v>
      </c>
      <c r="N77" s="166"/>
      <c r="O77" s="125">
        <v>0.77083333333333337</v>
      </c>
      <c r="P77" s="166"/>
      <c r="R77" s="125">
        <v>0.77083333333333337</v>
      </c>
      <c r="S77" s="166">
        <v>2.29732</v>
      </c>
      <c r="T77" s="125">
        <v>0.77083333333333337</v>
      </c>
      <c r="U77" s="166">
        <v>3.09721</v>
      </c>
      <c r="V77" s="125">
        <v>0.77083333333333337</v>
      </c>
      <c r="W77" s="166">
        <v>3.9096700000000002</v>
      </c>
      <c r="Y77" s="125">
        <v>0.77083333333333337</v>
      </c>
      <c r="Z77" s="166"/>
      <c r="AA77" s="125">
        <v>0.77083333333333337</v>
      </c>
      <c r="AB77" s="166"/>
      <c r="AC77" s="125">
        <v>0.77083333333333337</v>
      </c>
      <c r="AD77" s="166"/>
      <c r="AF77" s="125">
        <v>0.77083333333333337</v>
      </c>
      <c r="AG77" s="166">
        <v>1.28905</v>
      </c>
      <c r="AH77" s="125">
        <v>0.77083333333333337</v>
      </c>
      <c r="AI77" s="208">
        <v>2.6503100000000002</v>
      </c>
      <c r="AJ77" s="125">
        <v>0.77083333333333337</v>
      </c>
      <c r="AK77" s="166">
        <v>2.4320200000000001</v>
      </c>
      <c r="AM77" s="125">
        <v>0.77083333333333337</v>
      </c>
      <c r="AN77" s="166">
        <v>2.17455</v>
      </c>
      <c r="AO77" s="125">
        <v>0.77083333333333337</v>
      </c>
      <c r="AP77" s="214">
        <v>6.1815800000000003</v>
      </c>
      <c r="AQ77" s="125">
        <v>0.77083333333333337</v>
      </c>
      <c r="AR77" s="166">
        <v>4.3676700000000004</v>
      </c>
      <c r="AT77" s="125">
        <v>0.77083333333333337</v>
      </c>
      <c r="AU77" s="21"/>
      <c r="AW77" s="125">
        <v>0.77083333333333337</v>
      </c>
      <c r="AX77" s="21"/>
    </row>
    <row r="78" spans="1:50" x14ac:dyDescent="0.3">
      <c r="A78" s="123">
        <v>0.69791666666666663</v>
      </c>
      <c r="B78" s="133">
        <f t="shared" si="1"/>
        <v>0</v>
      </c>
      <c r="D78" s="125">
        <v>0.78125</v>
      </c>
      <c r="E78" s="166"/>
      <c r="F78" s="125">
        <v>0.78125</v>
      </c>
      <c r="G78" s="166"/>
      <c r="H78" s="125">
        <v>0.78125</v>
      </c>
      <c r="I78" s="166"/>
      <c r="K78" s="125">
        <v>0.78125</v>
      </c>
      <c r="L78" s="166"/>
      <c r="M78" s="125">
        <v>0.78125</v>
      </c>
      <c r="N78" s="166"/>
      <c r="O78" s="125">
        <v>0.78125</v>
      </c>
      <c r="P78" s="166"/>
      <c r="R78" s="125">
        <v>0.78125</v>
      </c>
      <c r="S78" s="166">
        <v>2.29732</v>
      </c>
      <c r="T78" s="125">
        <v>0.78125</v>
      </c>
      <c r="U78" s="166">
        <v>3.09721</v>
      </c>
      <c r="V78" s="125">
        <v>0.78125</v>
      </c>
      <c r="W78" s="166">
        <v>3.9096700000000002</v>
      </c>
      <c r="Y78" s="125">
        <v>0.78125</v>
      </c>
      <c r="Z78" s="166"/>
      <c r="AA78" s="125">
        <v>0.78125</v>
      </c>
      <c r="AB78" s="166"/>
      <c r="AC78" s="125">
        <v>0.78125</v>
      </c>
      <c r="AD78" s="166"/>
      <c r="AF78" s="125">
        <v>0.78125</v>
      </c>
      <c r="AG78" s="166">
        <v>1.28905</v>
      </c>
      <c r="AH78" s="125">
        <v>0.78125</v>
      </c>
      <c r="AI78" s="208">
        <v>2.6503100000000002</v>
      </c>
      <c r="AJ78" s="125">
        <v>0.78125</v>
      </c>
      <c r="AK78" s="166">
        <v>2.4320200000000001</v>
      </c>
      <c r="AM78" s="125">
        <v>0.78125</v>
      </c>
      <c r="AN78" s="166">
        <v>2.17455</v>
      </c>
      <c r="AO78" s="125">
        <v>0.78125</v>
      </c>
      <c r="AP78" s="214">
        <v>6.1815800000000003</v>
      </c>
      <c r="AQ78" s="125">
        <v>0.78125</v>
      </c>
      <c r="AR78" s="166">
        <v>4.3676700000000004</v>
      </c>
      <c r="AT78" s="125">
        <v>0.78125</v>
      </c>
      <c r="AU78" s="21"/>
      <c r="AW78" s="125">
        <v>0.78125</v>
      </c>
      <c r="AX78" s="21"/>
    </row>
    <row r="79" spans="1:50" x14ac:dyDescent="0.3">
      <c r="A79" s="123">
        <v>0.70833333333333337</v>
      </c>
      <c r="B79" s="133">
        <f t="shared" si="1"/>
        <v>0</v>
      </c>
      <c r="D79" s="125">
        <v>0.79166666666666663</v>
      </c>
      <c r="E79" s="166"/>
      <c r="F79" s="125">
        <v>0.79166666666666663</v>
      </c>
      <c r="G79" s="166"/>
      <c r="H79" s="125">
        <v>0.79166666666666663</v>
      </c>
      <c r="I79" s="166"/>
      <c r="K79" s="125">
        <v>0.79166666666666663</v>
      </c>
      <c r="L79" s="166"/>
      <c r="M79" s="125">
        <v>0.79166666666666663</v>
      </c>
      <c r="N79" s="166"/>
      <c r="O79" s="125">
        <v>0.79166666666666663</v>
      </c>
      <c r="P79" s="166"/>
      <c r="R79" s="125">
        <v>0.79166666666666663</v>
      </c>
      <c r="S79" s="166">
        <v>2.29732</v>
      </c>
      <c r="T79" s="125">
        <v>0.79166666666666663</v>
      </c>
      <c r="U79" s="166">
        <v>3.09721</v>
      </c>
      <c r="V79" s="125">
        <v>0.79166666666666663</v>
      </c>
      <c r="W79" s="166">
        <v>3.9096700000000002</v>
      </c>
      <c r="Y79" s="125">
        <v>0.79166666666666663</v>
      </c>
      <c r="Z79" s="166"/>
      <c r="AA79" s="125">
        <v>0.79166666666666663</v>
      </c>
      <c r="AB79" s="166"/>
      <c r="AC79" s="125">
        <v>0.79166666666666663</v>
      </c>
      <c r="AD79" s="166"/>
      <c r="AF79" s="125">
        <v>0.79166666666666663</v>
      </c>
      <c r="AG79" s="166">
        <v>1.28905</v>
      </c>
      <c r="AH79" s="125">
        <v>0.79166666666666663</v>
      </c>
      <c r="AI79" s="208">
        <v>2.6503100000000002</v>
      </c>
      <c r="AJ79" s="125">
        <v>0.79166666666666663</v>
      </c>
      <c r="AK79" s="166">
        <v>2.4320200000000001</v>
      </c>
      <c r="AM79" s="125">
        <v>0.79166666666666663</v>
      </c>
      <c r="AN79" s="166">
        <v>2.17455</v>
      </c>
      <c r="AO79" s="125">
        <v>0.79166666666666663</v>
      </c>
      <c r="AP79" s="214">
        <v>6.1815800000000003</v>
      </c>
      <c r="AQ79" s="125">
        <v>0.79166666666666663</v>
      </c>
      <c r="AR79" s="166">
        <v>4.3676700000000004</v>
      </c>
      <c r="AT79" s="125">
        <v>0.79166666666666663</v>
      </c>
      <c r="AU79" s="21"/>
      <c r="AW79" s="125">
        <v>0.79166666666666663</v>
      </c>
      <c r="AX79" s="21"/>
    </row>
    <row r="80" spans="1:50" x14ac:dyDescent="0.3">
      <c r="A80" s="123">
        <v>0.71875</v>
      </c>
      <c r="B80" s="133">
        <f t="shared" si="1"/>
        <v>0</v>
      </c>
      <c r="D80" s="125">
        <v>0.80208333333333337</v>
      </c>
      <c r="E80" s="166"/>
      <c r="F80" s="125">
        <v>0.80208333333333337</v>
      </c>
      <c r="G80" s="166"/>
      <c r="H80" s="125">
        <v>0.80208333333333337</v>
      </c>
      <c r="I80" s="166"/>
      <c r="K80" s="125">
        <v>0.80208333333333337</v>
      </c>
      <c r="L80" s="166"/>
      <c r="M80" s="125">
        <v>0.80208333333333337</v>
      </c>
      <c r="N80" s="166"/>
      <c r="O80" s="125">
        <v>0.80208333333333337</v>
      </c>
      <c r="P80" s="166"/>
      <c r="R80" s="125">
        <v>0.80208333333333337</v>
      </c>
      <c r="S80" s="166">
        <v>1.83575</v>
      </c>
      <c r="T80" s="125">
        <v>0.80208333333333337</v>
      </c>
      <c r="U80" s="166">
        <v>3.2562099999999998</v>
      </c>
      <c r="V80" s="125">
        <v>0.80208333333333337</v>
      </c>
      <c r="W80" s="166">
        <v>3.5582699999999998</v>
      </c>
      <c r="Y80" s="125">
        <v>0.80208333333333337</v>
      </c>
      <c r="Z80" s="166"/>
      <c r="AA80" s="125">
        <v>0.80208333333333337</v>
      </c>
      <c r="AB80" s="166"/>
      <c r="AC80" s="125">
        <v>0.80208333333333337</v>
      </c>
      <c r="AD80" s="166"/>
      <c r="AF80" s="125">
        <v>0.80208333333333337</v>
      </c>
      <c r="AG80" s="166">
        <v>1.3140099999999999</v>
      </c>
      <c r="AH80" s="125">
        <v>0.80208333333333337</v>
      </c>
      <c r="AI80" s="208">
        <v>2.4169999999999998</v>
      </c>
      <c r="AJ80" s="125">
        <v>0.80208333333333337</v>
      </c>
      <c r="AK80" s="166">
        <v>2.5726499999999999</v>
      </c>
      <c r="AM80" s="125">
        <v>0.80208333333333337</v>
      </c>
      <c r="AN80" s="166">
        <v>1.9948300000000001</v>
      </c>
      <c r="AO80" s="125">
        <v>0.80208333333333337</v>
      </c>
      <c r="AP80" s="214">
        <v>3.0520399999999999</v>
      </c>
      <c r="AQ80" s="125">
        <v>0.80208333333333337</v>
      </c>
      <c r="AR80" s="166">
        <v>4.3131899999999996</v>
      </c>
      <c r="AT80" s="125">
        <v>0.80208333333333337</v>
      </c>
      <c r="AU80" s="21"/>
      <c r="AW80" s="125">
        <v>0.80208333333333337</v>
      </c>
      <c r="AX80" s="21"/>
    </row>
    <row r="81" spans="1:50" x14ac:dyDescent="0.3">
      <c r="A81" s="123">
        <v>0.72916666666666663</v>
      </c>
      <c r="B81" s="133">
        <f t="shared" si="1"/>
        <v>0</v>
      </c>
      <c r="D81" s="125">
        <v>0.8125</v>
      </c>
      <c r="E81" s="166"/>
      <c r="F81" s="125">
        <v>0.8125</v>
      </c>
      <c r="G81" s="166"/>
      <c r="H81" s="125">
        <v>0.8125</v>
      </c>
      <c r="I81" s="166"/>
      <c r="K81" s="125">
        <v>0.8125</v>
      </c>
      <c r="L81" s="166"/>
      <c r="M81" s="125">
        <v>0.8125</v>
      </c>
      <c r="N81" s="166"/>
      <c r="O81" s="125">
        <v>0.8125</v>
      </c>
      <c r="P81" s="166"/>
      <c r="R81" s="125">
        <v>0.8125</v>
      </c>
      <c r="S81" s="166">
        <v>1.83575</v>
      </c>
      <c r="T81" s="125">
        <v>0.8125</v>
      </c>
      <c r="U81" s="166">
        <v>3.2562099999999998</v>
      </c>
      <c r="V81" s="125">
        <v>0.8125</v>
      </c>
      <c r="W81" s="166">
        <v>3.5582699999999998</v>
      </c>
      <c r="Y81" s="125">
        <v>0.8125</v>
      </c>
      <c r="Z81" s="166"/>
      <c r="AA81" s="125">
        <v>0.8125</v>
      </c>
      <c r="AB81" s="166"/>
      <c r="AC81" s="125">
        <v>0.8125</v>
      </c>
      <c r="AD81" s="166"/>
      <c r="AF81" s="125">
        <v>0.8125</v>
      </c>
      <c r="AG81" s="166">
        <v>1.3140099999999999</v>
      </c>
      <c r="AH81" s="125">
        <v>0.8125</v>
      </c>
      <c r="AI81" s="208">
        <v>2.4169999999999998</v>
      </c>
      <c r="AJ81" s="125">
        <v>0.8125</v>
      </c>
      <c r="AK81" s="166">
        <v>2.5726499999999999</v>
      </c>
      <c r="AM81" s="125">
        <v>0.8125</v>
      </c>
      <c r="AN81" s="166">
        <v>1.9948300000000001</v>
      </c>
      <c r="AO81" s="125">
        <v>0.8125</v>
      </c>
      <c r="AP81" s="214">
        <v>3.0520399999999999</v>
      </c>
      <c r="AQ81" s="125">
        <v>0.8125</v>
      </c>
      <c r="AR81" s="166">
        <v>4.3131899999999996</v>
      </c>
      <c r="AT81" s="125">
        <v>0.8125</v>
      </c>
      <c r="AU81" s="21"/>
      <c r="AW81" s="125">
        <v>0.8125</v>
      </c>
      <c r="AX81" s="21"/>
    </row>
    <row r="82" spans="1:50" x14ac:dyDescent="0.3">
      <c r="A82" s="123">
        <v>0.73958333333333337</v>
      </c>
      <c r="B82" s="133">
        <f t="shared" si="1"/>
        <v>0</v>
      </c>
      <c r="D82" s="125">
        <v>0.82291666666666663</v>
      </c>
      <c r="E82" s="166"/>
      <c r="F82" s="125">
        <v>0.82291666666666663</v>
      </c>
      <c r="G82" s="166"/>
      <c r="H82" s="125">
        <v>0.82291666666666663</v>
      </c>
      <c r="I82" s="166"/>
      <c r="K82" s="125">
        <v>0.82291666666666663</v>
      </c>
      <c r="L82" s="166"/>
      <c r="M82" s="125">
        <v>0.82291666666666663</v>
      </c>
      <c r="N82" s="166"/>
      <c r="O82" s="125">
        <v>0.82291666666666663</v>
      </c>
      <c r="P82" s="166"/>
      <c r="R82" s="125">
        <v>0.82291666666666663</v>
      </c>
      <c r="S82" s="166">
        <v>1.83575</v>
      </c>
      <c r="T82" s="125">
        <v>0.82291666666666663</v>
      </c>
      <c r="U82" s="166">
        <v>3.2562099999999998</v>
      </c>
      <c r="V82" s="125">
        <v>0.82291666666666663</v>
      </c>
      <c r="W82" s="166">
        <v>3.5582699999999998</v>
      </c>
      <c r="Y82" s="125">
        <v>0.82291666666666663</v>
      </c>
      <c r="Z82" s="166"/>
      <c r="AA82" s="125">
        <v>0.82291666666666663</v>
      </c>
      <c r="AB82" s="166"/>
      <c r="AC82" s="125">
        <v>0.82291666666666663</v>
      </c>
      <c r="AD82" s="166"/>
      <c r="AF82" s="125">
        <v>0.82291666666666663</v>
      </c>
      <c r="AG82" s="166">
        <v>1.3140099999999999</v>
      </c>
      <c r="AH82" s="125">
        <v>0.82291666666666663</v>
      </c>
      <c r="AI82" s="208">
        <v>2.4169999999999998</v>
      </c>
      <c r="AJ82" s="125">
        <v>0.82291666666666663</v>
      </c>
      <c r="AK82" s="166">
        <v>2.5726499999999999</v>
      </c>
      <c r="AM82" s="125">
        <v>0.82291666666666663</v>
      </c>
      <c r="AN82" s="166">
        <v>1.9948300000000001</v>
      </c>
      <c r="AO82" s="125">
        <v>0.82291666666666663</v>
      </c>
      <c r="AP82" s="214">
        <v>3.0520399999999999</v>
      </c>
      <c r="AQ82" s="125">
        <v>0.82291666666666663</v>
      </c>
      <c r="AR82" s="166">
        <v>4.3131899999999996</v>
      </c>
      <c r="AT82" s="125">
        <v>0.82291666666666663</v>
      </c>
      <c r="AU82" s="21"/>
      <c r="AW82" s="125">
        <v>0.82291666666666663</v>
      </c>
      <c r="AX82" s="21"/>
    </row>
    <row r="83" spans="1:50" x14ac:dyDescent="0.3">
      <c r="A83" s="123">
        <v>0.75</v>
      </c>
      <c r="B83" s="133">
        <f t="shared" si="1"/>
        <v>0</v>
      </c>
      <c r="D83" s="125">
        <v>0.83333333333333337</v>
      </c>
      <c r="E83" s="166"/>
      <c r="F83" s="125">
        <v>0.83333333333333337</v>
      </c>
      <c r="G83" s="166"/>
      <c r="H83" s="125">
        <v>0.83333333333333337</v>
      </c>
      <c r="I83" s="166"/>
      <c r="K83" s="125">
        <v>0.83333333333333337</v>
      </c>
      <c r="L83" s="166"/>
      <c r="M83" s="125">
        <v>0.83333333333333337</v>
      </c>
      <c r="N83" s="166"/>
      <c r="O83" s="125">
        <v>0.83333333333333337</v>
      </c>
      <c r="P83" s="166"/>
      <c r="R83" s="125">
        <v>0.83333333333333337</v>
      </c>
      <c r="S83" s="166">
        <v>1.83575</v>
      </c>
      <c r="T83" s="125">
        <v>0.83333333333333337</v>
      </c>
      <c r="U83" s="166">
        <v>3.2562099999999998</v>
      </c>
      <c r="V83" s="125">
        <v>0.83333333333333337</v>
      </c>
      <c r="W83" s="166">
        <v>3.5582699999999998</v>
      </c>
      <c r="Y83" s="125">
        <v>0.83333333333333337</v>
      </c>
      <c r="Z83" s="166"/>
      <c r="AA83" s="125">
        <v>0.83333333333333337</v>
      </c>
      <c r="AB83" s="166"/>
      <c r="AC83" s="125">
        <v>0.83333333333333337</v>
      </c>
      <c r="AD83" s="166"/>
      <c r="AF83" s="125">
        <v>0.83333333333333337</v>
      </c>
      <c r="AG83" s="166">
        <v>1.3140099999999999</v>
      </c>
      <c r="AH83" s="125">
        <v>0.83333333333333337</v>
      </c>
      <c r="AI83" s="208">
        <v>2.4169999999999998</v>
      </c>
      <c r="AJ83" s="125">
        <v>0.83333333333333337</v>
      </c>
      <c r="AK83" s="166">
        <v>2.5726499999999999</v>
      </c>
      <c r="AM83" s="125">
        <v>0.83333333333333337</v>
      </c>
      <c r="AN83" s="166">
        <v>1.9948300000000001</v>
      </c>
      <c r="AO83" s="125">
        <v>0.83333333333333337</v>
      </c>
      <c r="AP83" s="214">
        <v>3.0520399999999999</v>
      </c>
      <c r="AQ83" s="125">
        <v>0.83333333333333337</v>
      </c>
      <c r="AR83" s="166">
        <v>4.3131899999999996</v>
      </c>
      <c r="AT83" s="125">
        <v>0.83333333333333337</v>
      </c>
      <c r="AU83" s="21"/>
      <c r="AW83" s="125">
        <v>0.83333333333333337</v>
      </c>
      <c r="AX83" s="21"/>
    </row>
    <row r="84" spans="1:50" x14ac:dyDescent="0.3">
      <c r="A84" s="123">
        <v>0.76041666666666663</v>
      </c>
      <c r="B84" s="133">
        <f t="shared" si="1"/>
        <v>0</v>
      </c>
      <c r="D84" s="125">
        <v>0.84375</v>
      </c>
      <c r="E84" s="166"/>
      <c r="F84" s="125">
        <v>0.84375</v>
      </c>
      <c r="G84" s="166"/>
      <c r="H84" s="125">
        <v>0.84375</v>
      </c>
      <c r="I84" s="166"/>
      <c r="K84" s="125">
        <v>0.84375</v>
      </c>
      <c r="L84" s="166"/>
      <c r="M84" s="125">
        <v>0.84375</v>
      </c>
      <c r="N84" s="166"/>
      <c r="O84" s="125">
        <v>0.84375</v>
      </c>
      <c r="P84" s="166"/>
      <c r="R84" s="125">
        <v>0.84375</v>
      </c>
      <c r="S84" s="166">
        <v>2.22187</v>
      </c>
      <c r="T84" s="125">
        <v>0.84375</v>
      </c>
      <c r="U84" s="166">
        <v>2.56562</v>
      </c>
      <c r="V84" s="125">
        <v>0.84375</v>
      </c>
      <c r="W84" s="166">
        <v>3.8307199999999999</v>
      </c>
      <c r="Y84" s="125">
        <v>0.84375</v>
      </c>
      <c r="Z84" s="166"/>
      <c r="AA84" s="125">
        <v>0.84375</v>
      </c>
      <c r="AB84" s="166"/>
      <c r="AC84" s="125">
        <v>0.84375</v>
      </c>
      <c r="AD84" s="166"/>
      <c r="AF84" s="125">
        <v>0.84375</v>
      </c>
      <c r="AG84" s="166">
        <v>1.3383799999999999</v>
      </c>
      <c r="AH84" s="125">
        <v>0.84375</v>
      </c>
      <c r="AI84" s="208">
        <v>2.5954700000000002</v>
      </c>
      <c r="AJ84" s="125">
        <v>0.84375</v>
      </c>
      <c r="AK84" s="166">
        <v>2.6762199999999998</v>
      </c>
      <c r="AM84" s="125">
        <v>0.84375</v>
      </c>
      <c r="AN84" s="166">
        <v>1.9914099999999999</v>
      </c>
      <c r="AO84" s="125">
        <v>0.84375</v>
      </c>
      <c r="AP84" s="214">
        <v>2.7397399999999998</v>
      </c>
      <c r="AQ84" s="125">
        <v>0.84375</v>
      </c>
      <c r="AR84" s="166">
        <v>4.20045</v>
      </c>
      <c r="AT84" s="125">
        <v>0.84375</v>
      </c>
      <c r="AU84" s="21"/>
      <c r="AW84" s="125">
        <v>0.84375</v>
      </c>
      <c r="AX84" s="21"/>
    </row>
    <row r="85" spans="1:50" x14ac:dyDescent="0.3">
      <c r="A85" s="123">
        <v>0.77083333333333337</v>
      </c>
      <c r="B85" s="133">
        <f t="shared" si="1"/>
        <v>0</v>
      </c>
      <c r="D85" s="125">
        <v>0.85416666666666663</v>
      </c>
      <c r="E85" s="166"/>
      <c r="F85" s="125">
        <v>0.85416666666666663</v>
      </c>
      <c r="G85" s="166"/>
      <c r="H85" s="125">
        <v>0.85416666666666663</v>
      </c>
      <c r="I85" s="166"/>
      <c r="K85" s="125">
        <v>0.85416666666666663</v>
      </c>
      <c r="L85" s="166"/>
      <c r="M85" s="125">
        <v>0.85416666666666663</v>
      </c>
      <c r="N85" s="166"/>
      <c r="O85" s="125">
        <v>0.85416666666666663</v>
      </c>
      <c r="P85" s="166"/>
      <c r="R85" s="125">
        <v>0.85416666666666663</v>
      </c>
      <c r="S85" s="166">
        <v>2.22187</v>
      </c>
      <c r="T85" s="125">
        <v>0.85416666666666663</v>
      </c>
      <c r="U85" s="166">
        <v>2.56562</v>
      </c>
      <c r="V85" s="125">
        <v>0.85416666666666663</v>
      </c>
      <c r="W85" s="166">
        <v>3.8307199999999999</v>
      </c>
      <c r="Y85" s="125">
        <v>0.85416666666666663</v>
      </c>
      <c r="Z85" s="166"/>
      <c r="AA85" s="125">
        <v>0.85416666666666663</v>
      </c>
      <c r="AB85" s="166"/>
      <c r="AC85" s="125">
        <v>0.85416666666666663</v>
      </c>
      <c r="AD85" s="166"/>
      <c r="AF85" s="125">
        <v>0.85416666666666663</v>
      </c>
      <c r="AG85" s="166">
        <v>1.3383799999999999</v>
      </c>
      <c r="AH85" s="125">
        <v>0.85416666666666663</v>
      </c>
      <c r="AI85" s="208">
        <v>2.5954700000000002</v>
      </c>
      <c r="AJ85" s="125">
        <v>0.85416666666666663</v>
      </c>
      <c r="AK85" s="166">
        <v>2.6762199999999998</v>
      </c>
      <c r="AM85" s="125">
        <v>0.85416666666666663</v>
      </c>
      <c r="AN85" s="166">
        <v>1.9914099999999999</v>
      </c>
      <c r="AO85" s="125">
        <v>0.85416666666666663</v>
      </c>
      <c r="AP85" s="214">
        <v>2.7397399999999998</v>
      </c>
      <c r="AQ85" s="125">
        <v>0.85416666666666663</v>
      </c>
      <c r="AR85" s="166">
        <v>4.20045</v>
      </c>
      <c r="AT85" s="125">
        <v>0.85416666666666663</v>
      </c>
      <c r="AU85" s="21"/>
      <c r="AW85" s="125">
        <v>0.85416666666666663</v>
      </c>
      <c r="AX85" s="21"/>
    </row>
    <row r="86" spans="1:50" x14ac:dyDescent="0.3">
      <c r="A86" s="123">
        <v>0.78125</v>
      </c>
      <c r="B86" s="133">
        <f t="shared" si="1"/>
        <v>0</v>
      </c>
      <c r="D86" s="125">
        <v>0.86458333333333337</v>
      </c>
      <c r="E86" s="166"/>
      <c r="F86" s="125">
        <v>0.86458333333333337</v>
      </c>
      <c r="G86" s="166"/>
      <c r="H86" s="125">
        <v>0.86458333333333337</v>
      </c>
      <c r="I86" s="166"/>
      <c r="K86" s="125">
        <v>0.86458333333333337</v>
      </c>
      <c r="L86" s="166"/>
      <c r="M86" s="125">
        <v>0.86458333333333337</v>
      </c>
      <c r="N86" s="166"/>
      <c r="O86" s="125">
        <v>0.86458333333333337</v>
      </c>
      <c r="P86" s="166"/>
      <c r="R86" s="125">
        <v>0.86458333333333337</v>
      </c>
      <c r="S86" s="166">
        <v>2.22187</v>
      </c>
      <c r="T86" s="125">
        <v>0.86458333333333337</v>
      </c>
      <c r="U86" s="166">
        <v>2.56562</v>
      </c>
      <c r="V86" s="125">
        <v>0.86458333333333337</v>
      </c>
      <c r="W86" s="166">
        <v>3.8307199999999999</v>
      </c>
      <c r="Y86" s="125">
        <v>0.86458333333333337</v>
      </c>
      <c r="Z86" s="166"/>
      <c r="AA86" s="125">
        <v>0.86458333333333337</v>
      </c>
      <c r="AB86" s="166"/>
      <c r="AC86" s="125">
        <v>0.86458333333333337</v>
      </c>
      <c r="AD86" s="166"/>
      <c r="AF86" s="125">
        <v>0.86458333333333337</v>
      </c>
      <c r="AG86" s="166">
        <v>1.3383799999999999</v>
      </c>
      <c r="AH86" s="125">
        <v>0.86458333333333337</v>
      </c>
      <c r="AI86" s="208">
        <v>2.5954700000000002</v>
      </c>
      <c r="AJ86" s="125">
        <v>0.86458333333333337</v>
      </c>
      <c r="AK86" s="166">
        <v>2.6762199999999998</v>
      </c>
      <c r="AM86" s="125">
        <v>0.86458333333333337</v>
      </c>
      <c r="AN86" s="166">
        <v>1.9914099999999999</v>
      </c>
      <c r="AO86" s="125">
        <v>0.86458333333333337</v>
      </c>
      <c r="AP86" s="214">
        <v>2.7397399999999998</v>
      </c>
      <c r="AQ86" s="125">
        <v>0.86458333333333337</v>
      </c>
      <c r="AR86" s="166">
        <v>4.20045</v>
      </c>
      <c r="AT86" s="125">
        <v>0.86458333333333337</v>
      </c>
      <c r="AU86" s="21"/>
      <c r="AW86" s="125">
        <v>0.86458333333333337</v>
      </c>
      <c r="AX86" s="21"/>
    </row>
    <row r="87" spans="1:50" x14ac:dyDescent="0.3">
      <c r="A87" s="123">
        <v>0.79166666666666663</v>
      </c>
      <c r="B87" s="133">
        <f t="shared" si="1"/>
        <v>0</v>
      </c>
      <c r="D87" s="125">
        <v>0.875</v>
      </c>
      <c r="E87" s="166"/>
      <c r="F87" s="125">
        <v>0.875</v>
      </c>
      <c r="G87" s="166"/>
      <c r="H87" s="125">
        <v>0.875</v>
      </c>
      <c r="I87" s="166"/>
      <c r="K87" s="125">
        <v>0.875</v>
      </c>
      <c r="L87" s="166"/>
      <c r="M87" s="125">
        <v>0.875</v>
      </c>
      <c r="N87" s="166"/>
      <c r="O87" s="125">
        <v>0.875</v>
      </c>
      <c r="P87" s="166"/>
      <c r="R87" s="125">
        <v>0.875</v>
      </c>
      <c r="S87" s="166">
        <v>2.22187</v>
      </c>
      <c r="T87" s="125">
        <v>0.875</v>
      </c>
      <c r="U87" s="166">
        <v>2.56562</v>
      </c>
      <c r="V87" s="125">
        <v>0.875</v>
      </c>
      <c r="W87" s="166">
        <v>3.8307199999999999</v>
      </c>
      <c r="Y87" s="125">
        <v>0.875</v>
      </c>
      <c r="Z87" s="166"/>
      <c r="AA87" s="125">
        <v>0.875</v>
      </c>
      <c r="AB87" s="166"/>
      <c r="AC87" s="125">
        <v>0.875</v>
      </c>
      <c r="AD87" s="166"/>
      <c r="AF87" s="125">
        <v>0.875</v>
      </c>
      <c r="AG87" s="166">
        <v>1.3383799999999999</v>
      </c>
      <c r="AH87" s="125">
        <v>0.875</v>
      </c>
      <c r="AI87" s="208">
        <v>2.5954700000000002</v>
      </c>
      <c r="AJ87" s="125">
        <v>0.875</v>
      </c>
      <c r="AK87" s="166">
        <v>2.6762199999999998</v>
      </c>
      <c r="AM87" s="125">
        <v>0.875</v>
      </c>
      <c r="AN87" s="166">
        <v>1.9914099999999999</v>
      </c>
      <c r="AO87" s="125">
        <v>0.875</v>
      </c>
      <c r="AP87" s="214">
        <v>2.7397399999999998</v>
      </c>
      <c r="AQ87" s="125">
        <v>0.875</v>
      </c>
      <c r="AR87" s="166">
        <v>4.20045</v>
      </c>
      <c r="AT87" s="125">
        <v>0.875</v>
      </c>
      <c r="AU87" s="21"/>
      <c r="AW87" s="125">
        <v>0.875</v>
      </c>
      <c r="AX87" s="21"/>
    </row>
    <row r="88" spans="1:50" x14ac:dyDescent="0.3">
      <c r="A88" s="123">
        <v>0.80208333333333337</v>
      </c>
      <c r="B88" s="133">
        <f t="shared" si="1"/>
        <v>0</v>
      </c>
      <c r="D88" s="125">
        <v>0.88541666666666663</v>
      </c>
      <c r="E88" s="166"/>
      <c r="F88" s="125">
        <v>0.88541666666666663</v>
      </c>
      <c r="G88" s="166"/>
      <c r="H88" s="125">
        <v>0.88541666666666663</v>
      </c>
      <c r="I88" s="166"/>
      <c r="K88" s="125">
        <v>0.88541666666666663</v>
      </c>
      <c r="L88" s="166"/>
      <c r="M88" s="125">
        <v>0.88541666666666663</v>
      </c>
      <c r="N88" s="166"/>
      <c r="O88" s="125">
        <v>0.88541666666666663</v>
      </c>
      <c r="P88" s="166"/>
      <c r="R88" s="125">
        <v>0.88541666666666663</v>
      </c>
      <c r="S88" s="166">
        <v>1.55263</v>
      </c>
      <c r="T88" s="125">
        <v>0.88541666666666663</v>
      </c>
      <c r="U88" s="166">
        <v>2.3668900000000002</v>
      </c>
      <c r="V88" s="125">
        <v>0.88541666666666663</v>
      </c>
      <c r="W88" s="166">
        <v>3.0198999999999998</v>
      </c>
      <c r="Y88" s="125">
        <v>0.88541666666666663</v>
      </c>
      <c r="Z88" s="166"/>
      <c r="AA88" s="125">
        <v>0.88541666666666663</v>
      </c>
      <c r="AB88" s="166"/>
      <c r="AC88" s="125">
        <v>0.88541666666666663</v>
      </c>
      <c r="AD88" s="166"/>
      <c r="AF88" s="125">
        <v>0.88541666666666663</v>
      </c>
      <c r="AG88" s="166">
        <v>1.5496099999999999</v>
      </c>
      <c r="AH88" s="125">
        <v>0.88541666666666663</v>
      </c>
      <c r="AI88" s="208">
        <v>2.6413899999999999</v>
      </c>
      <c r="AJ88" s="125">
        <v>0.88541666666666663</v>
      </c>
      <c r="AK88" s="166">
        <v>3.3751000000000002</v>
      </c>
      <c r="AM88" s="125">
        <v>0.88541666666666663</v>
      </c>
      <c r="AN88" s="166">
        <v>1.7137899999999999</v>
      </c>
      <c r="AO88" s="125">
        <v>0.88541666666666663</v>
      </c>
      <c r="AP88" s="214">
        <v>2.5594600000000001</v>
      </c>
      <c r="AQ88" s="125">
        <v>0.88541666666666663</v>
      </c>
      <c r="AR88" s="166">
        <v>3.2402199999999999</v>
      </c>
      <c r="AT88" s="125">
        <v>0.88541666666666663</v>
      </c>
      <c r="AU88" s="21"/>
      <c r="AW88" s="125">
        <v>0.88541666666666663</v>
      </c>
      <c r="AX88" s="21"/>
    </row>
    <row r="89" spans="1:50" x14ac:dyDescent="0.3">
      <c r="A89" s="123">
        <v>0.8125</v>
      </c>
      <c r="B89" s="133">
        <f t="shared" si="1"/>
        <v>0</v>
      </c>
      <c r="D89" s="125">
        <v>0.89583333333333337</v>
      </c>
      <c r="E89" s="166"/>
      <c r="F89" s="125">
        <v>0.89583333333333337</v>
      </c>
      <c r="G89" s="166"/>
      <c r="H89" s="125">
        <v>0.89583333333333337</v>
      </c>
      <c r="I89" s="166"/>
      <c r="K89" s="125">
        <v>0.89583333333333337</v>
      </c>
      <c r="L89" s="166"/>
      <c r="M89" s="125">
        <v>0.89583333333333337</v>
      </c>
      <c r="N89" s="166"/>
      <c r="O89" s="125">
        <v>0.89583333333333337</v>
      </c>
      <c r="P89" s="166"/>
      <c r="R89" s="125">
        <v>0.89583333333333337</v>
      </c>
      <c r="S89" s="166">
        <v>1.55263</v>
      </c>
      <c r="T89" s="125">
        <v>0.89583333333333337</v>
      </c>
      <c r="U89" s="166">
        <v>2.3668900000000002</v>
      </c>
      <c r="V89" s="125">
        <v>0.89583333333333337</v>
      </c>
      <c r="W89" s="166">
        <v>3.0198999999999998</v>
      </c>
      <c r="Y89" s="125">
        <v>0.89583333333333337</v>
      </c>
      <c r="Z89" s="166"/>
      <c r="AA89" s="125">
        <v>0.89583333333333337</v>
      </c>
      <c r="AB89" s="166"/>
      <c r="AC89" s="125">
        <v>0.89583333333333337</v>
      </c>
      <c r="AD89" s="166"/>
      <c r="AF89" s="125">
        <v>0.89583333333333337</v>
      </c>
      <c r="AG89" s="166">
        <v>1.5496099999999999</v>
      </c>
      <c r="AH89" s="125">
        <v>0.89583333333333337</v>
      </c>
      <c r="AI89" s="208">
        <v>2.6413899999999999</v>
      </c>
      <c r="AJ89" s="125">
        <v>0.89583333333333337</v>
      </c>
      <c r="AK89" s="166">
        <v>3.3751000000000002</v>
      </c>
      <c r="AM89" s="125">
        <v>0.89583333333333337</v>
      </c>
      <c r="AN89" s="166">
        <v>1.7137899999999999</v>
      </c>
      <c r="AO89" s="125">
        <v>0.89583333333333337</v>
      </c>
      <c r="AP89" s="214">
        <v>2.5594600000000001</v>
      </c>
      <c r="AQ89" s="125">
        <v>0.89583333333333337</v>
      </c>
      <c r="AR89" s="166">
        <v>3.2402199999999999</v>
      </c>
      <c r="AT89" s="125">
        <v>0.89583333333333337</v>
      </c>
      <c r="AU89" s="21"/>
      <c r="AW89" s="125">
        <v>0.89583333333333337</v>
      </c>
      <c r="AX89" s="21"/>
    </row>
    <row r="90" spans="1:50" x14ac:dyDescent="0.3">
      <c r="A90" s="123">
        <v>0.82291666666666663</v>
      </c>
      <c r="B90" s="133">
        <f t="shared" si="1"/>
        <v>0</v>
      </c>
      <c r="D90" s="125">
        <v>0.90625</v>
      </c>
      <c r="E90" s="166"/>
      <c r="F90" s="125">
        <v>0.90625</v>
      </c>
      <c r="G90" s="166"/>
      <c r="H90" s="125">
        <v>0.90625</v>
      </c>
      <c r="I90" s="166"/>
      <c r="K90" s="125">
        <v>0.90625</v>
      </c>
      <c r="L90" s="166"/>
      <c r="M90" s="125">
        <v>0.90625</v>
      </c>
      <c r="N90" s="166"/>
      <c r="O90" s="125">
        <v>0.90625</v>
      </c>
      <c r="P90" s="166"/>
      <c r="R90" s="125">
        <v>0.90625</v>
      </c>
      <c r="S90" s="166">
        <v>1.55263</v>
      </c>
      <c r="T90" s="125">
        <v>0.90625</v>
      </c>
      <c r="U90" s="166">
        <v>2.3668900000000002</v>
      </c>
      <c r="V90" s="125">
        <v>0.90625</v>
      </c>
      <c r="W90" s="166">
        <v>3.0198999999999998</v>
      </c>
      <c r="Y90" s="125">
        <v>0.90625</v>
      </c>
      <c r="Z90" s="166"/>
      <c r="AA90" s="125">
        <v>0.90625</v>
      </c>
      <c r="AB90" s="166"/>
      <c r="AC90" s="125">
        <v>0.90625</v>
      </c>
      <c r="AD90" s="166"/>
      <c r="AF90" s="125">
        <v>0.90625</v>
      </c>
      <c r="AG90" s="166">
        <v>1.5496099999999999</v>
      </c>
      <c r="AH90" s="125">
        <v>0.90625</v>
      </c>
      <c r="AI90" s="208">
        <v>2.6413899999999999</v>
      </c>
      <c r="AJ90" s="125">
        <v>0.90625</v>
      </c>
      <c r="AK90" s="166">
        <v>3.3751000000000002</v>
      </c>
      <c r="AM90" s="125">
        <v>0.90625</v>
      </c>
      <c r="AN90" s="166">
        <v>1.7137899999999999</v>
      </c>
      <c r="AO90" s="125">
        <v>0.90625</v>
      </c>
      <c r="AP90" s="214">
        <v>2.5594600000000001</v>
      </c>
      <c r="AQ90" s="125">
        <v>0.90625</v>
      </c>
      <c r="AR90" s="166">
        <v>3.2402199999999999</v>
      </c>
      <c r="AT90" s="125">
        <v>0.90625</v>
      </c>
      <c r="AU90" s="21"/>
      <c r="AW90" s="125">
        <v>0.90625</v>
      </c>
      <c r="AX90" s="21"/>
    </row>
    <row r="91" spans="1:50" x14ac:dyDescent="0.3">
      <c r="A91" s="123">
        <v>0.83333333333333337</v>
      </c>
      <c r="B91" s="133">
        <f t="shared" si="1"/>
        <v>0</v>
      </c>
      <c r="D91" s="125">
        <v>0.91666666666666663</v>
      </c>
      <c r="E91" s="166"/>
      <c r="F91" s="125">
        <v>0.91666666666666663</v>
      </c>
      <c r="G91" s="166"/>
      <c r="H91" s="125">
        <v>0.91666666666666663</v>
      </c>
      <c r="I91" s="166"/>
      <c r="K91" s="125">
        <v>0.91666666666666663</v>
      </c>
      <c r="L91" s="166"/>
      <c r="M91" s="125">
        <v>0.91666666666666663</v>
      </c>
      <c r="N91" s="166"/>
      <c r="O91" s="125">
        <v>0.91666666666666663</v>
      </c>
      <c r="P91" s="166"/>
      <c r="R91" s="125">
        <v>0.91666666666666663</v>
      </c>
      <c r="S91" s="166">
        <v>1.55263</v>
      </c>
      <c r="T91" s="125">
        <v>0.91666666666666663</v>
      </c>
      <c r="U91" s="166">
        <v>2.3668900000000002</v>
      </c>
      <c r="V91" s="125">
        <v>0.91666666666666663</v>
      </c>
      <c r="W91" s="166">
        <v>3.0198999999999998</v>
      </c>
      <c r="Y91" s="125">
        <v>0.91666666666666663</v>
      </c>
      <c r="Z91" s="166"/>
      <c r="AA91" s="125">
        <v>0.91666666666666663</v>
      </c>
      <c r="AB91" s="166"/>
      <c r="AC91" s="125">
        <v>0.91666666666666663</v>
      </c>
      <c r="AD91" s="166"/>
      <c r="AF91" s="125">
        <v>0.91666666666666663</v>
      </c>
      <c r="AG91" s="166">
        <v>1.5496099999999999</v>
      </c>
      <c r="AH91" s="125">
        <v>0.91666666666666663</v>
      </c>
      <c r="AI91" s="208">
        <v>2.6413899999999999</v>
      </c>
      <c r="AJ91" s="125">
        <v>0.91666666666666663</v>
      </c>
      <c r="AK91" s="166">
        <v>3.3751000000000002</v>
      </c>
      <c r="AM91" s="125">
        <v>0.91666666666666663</v>
      </c>
      <c r="AN91" s="166">
        <v>1.7137899999999999</v>
      </c>
      <c r="AO91" s="125">
        <v>0.91666666666666663</v>
      </c>
      <c r="AP91" s="214">
        <v>2.5594600000000001</v>
      </c>
      <c r="AQ91" s="125">
        <v>0.91666666666666663</v>
      </c>
      <c r="AR91" s="166">
        <v>3.2402199999999999</v>
      </c>
      <c r="AT91" s="125">
        <v>0.91666666666666663</v>
      </c>
      <c r="AU91" s="21"/>
      <c r="AW91" s="125">
        <v>0.91666666666666663</v>
      </c>
      <c r="AX91" s="21"/>
    </row>
    <row r="92" spans="1:50" x14ac:dyDescent="0.3">
      <c r="A92" s="123">
        <v>0.84375</v>
      </c>
      <c r="B92" s="133">
        <f t="shared" si="1"/>
        <v>0</v>
      </c>
      <c r="D92" s="125">
        <v>0.92708333333333337</v>
      </c>
      <c r="E92" s="166"/>
      <c r="F92" s="125">
        <v>0.92708333333333337</v>
      </c>
      <c r="G92" s="166"/>
      <c r="H92" s="125">
        <v>0.92708333333333337</v>
      </c>
      <c r="I92" s="166"/>
      <c r="K92" s="125">
        <v>0.92708333333333337</v>
      </c>
      <c r="L92" s="166"/>
      <c r="M92" s="125">
        <v>0.92708333333333337</v>
      </c>
      <c r="N92" s="166"/>
      <c r="O92" s="125">
        <v>0.92708333333333337</v>
      </c>
      <c r="P92" s="166"/>
      <c r="R92" s="125">
        <v>0.92708333333333337</v>
      </c>
      <c r="S92" s="166">
        <v>1.2784899999999999</v>
      </c>
      <c r="T92" s="125">
        <v>0.92708333333333337</v>
      </c>
      <c r="U92" s="166">
        <v>1.92499</v>
      </c>
      <c r="V92" s="125">
        <v>0.92708333333333337</v>
      </c>
      <c r="W92" s="166">
        <v>2.45716</v>
      </c>
      <c r="Y92" s="125">
        <v>0.92708333333333337</v>
      </c>
      <c r="Z92" s="166"/>
      <c r="AA92" s="125">
        <v>0.92708333333333337</v>
      </c>
      <c r="AB92" s="166"/>
      <c r="AC92" s="125">
        <v>0.92708333333333337</v>
      </c>
      <c r="AD92" s="166"/>
      <c r="AF92" s="125">
        <v>0.92708333333333337</v>
      </c>
      <c r="AG92" s="166">
        <v>1.40019</v>
      </c>
      <c r="AH92" s="125">
        <v>0.92708333333333337</v>
      </c>
      <c r="AI92" s="208">
        <v>2.06094</v>
      </c>
      <c r="AJ92" s="125">
        <v>0.92708333333333337</v>
      </c>
      <c r="AK92" s="166">
        <v>2.67361</v>
      </c>
      <c r="AM92" s="125">
        <v>0.92708333333333337</v>
      </c>
      <c r="AN92" s="166">
        <v>1.3998699999999999</v>
      </c>
      <c r="AO92" s="125">
        <v>0.92708333333333337</v>
      </c>
      <c r="AP92" s="214">
        <v>3.4096199999999999</v>
      </c>
      <c r="AQ92" s="125">
        <v>0.92708333333333337</v>
      </c>
      <c r="AR92" s="166">
        <v>2.8833500000000001</v>
      </c>
      <c r="AT92" s="125">
        <v>0.92708333333333337</v>
      </c>
      <c r="AU92" s="21"/>
      <c r="AW92" s="125">
        <v>0.92708333333333337</v>
      </c>
      <c r="AX92" s="21"/>
    </row>
    <row r="93" spans="1:50" x14ac:dyDescent="0.3">
      <c r="A93" s="123">
        <v>0.85416666666666663</v>
      </c>
      <c r="B93" s="133">
        <f t="shared" si="1"/>
        <v>0</v>
      </c>
      <c r="D93" s="125">
        <v>0.9375</v>
      </c>
      <c r="E93" s="166"/>
      <c r="F93" s="125">
        <v>0.9375</v>
      </c>
      <c r="G93" s="166"/>
      <c r="H93" s="125">
        <v>0.9375</v>
      </c>
      <c r="I93" s="166"/>
      <c r="K93" s="125">
        <v>0.9375</v>
      </c>
      <c r="L93" s="166"/>
      <c r="M93" s="125">
        <v>0.9375</v>
      </c>
      <c r="N93" s="166"/>
      <c r="O93" s="125">
        <v>0.9375</v>
      </c>
      <c r="P93" s="166"/>
      <c r="R93" s="125">
        <v>0.9375</v>
      </c>
      <c r="S93" s="166">
        <v>1.2784899999999999</v>
      </c>
      <c r="T93" s="125">
        <v>0.9375</v>
      </c>
      <c r="U93" s="166">
        <v>1.92499</v>
      </c>
      <c r="V93" s="125">
        <v>0.9375</v>
      </c>
      <c r="W93" s="166">
        <v>2.45716</v>
      </c>
      <c r="Y93" s="125">
        <v>0.9375</v>
      </c>
      <c r="Z93" s="166"/>
      <c r="AA93" s="125">
        <v>0.9375</v>
      </c>
      <c r="AB93" s="166"/>
      <c r="AC93" s="125">
        <v>0.9375</v>
      </c>
      <c r="AD93" s="166"/>
      <c r="AF93" s="125">
        <v>0.9375</v>
      </c>
      <c r="AG93" s="166">
        <v>1.40019</v>
      </c>
      <c r="AH93" s="125">
        <v>0.9375</v>
      </c>
      <c r="AI93" s="208">
        <v>2.06094</v>
      </c>
      <c r="AJ93" s="125">
        <v>0.9375</v>
      </c>
      <c r="AK93" s="166">
        <v>2.67361</v>
      </c>
      <c r="AM93" s="125">
        <v>0.9375</v>
      </c>
      <c r="AN93" s="166">
        <v>1.3998699999999999</v>
      </c>
      <c r="AO93" s="125">
        <v>0.9375</v>
      </c>
      <c r="AP93" s="214">
        <v>3.4096199999999999</v>
      </c>
      <c r="AQ93" s="125">
        <v>0.9375</v>
      </c>
      <c r="AR93" s="166">
        <v>2.8833500000000001</v>
      </c>
      <c r="AT93" s="125">
        <v>0.9375</v>
      </c>
      <c r="AU93" s="21"/>
      <c r="AW93" s="125">
        <v>0.9375</v>
      </c>
      <c r="AX93" s="21"/>
    </row>
    <row r="94" spans="1:50" x14ac:dyDescent="0.3">
      <c r="A94" s="123">
        <v>0.86458333333333337</v>
      </c>
      <c r="B94" s="133">
        <f t="shared" si="1"/>
        <v>0</v>
      </c>
      <c r="D94" s="125">
        <v>0.94791666666666663</v>
      </c>
      <c r="E94" s="166"/>
      <c r="F94" s="125">
        <v>0.94791666666666663</v>
      </c>
      <c r="G94" s="166"/>
      <c r="H94" s="125">
        <v>0.94791666666666663</v>
      </c>
      <c r="I94" s="166"/>
      <c r="K94" s="125">
        <v>0.94791666666666663</v>
      </c>
      <c r="L94" s="166"/>
      <c r="M94" s="125">
        <v>0.94791666666666663</v>
      </c>
      <c r="N94" s="166"/>
      <c r="O94" s="125">
        <v>0.94791666666666663</v>
      </c>
      <c r="P94" s="166"/>
      <c r="R94" s="125">
        <v>0.94791666666666663</v>
      </c>
      <c r="S94" s="166">
        <v>1.2784899999999999</v>
      </c>
      <c r="T94" s="125">
        <v>0.94791666666666663</v>
      </c>
      <c r="U94" s="166">
        <v>1.92499</v>
      </c>
      <c r="V94" s="125">
        <v>0.94791666666666663</v>
      </c>
      <c r="W94" s="166">
        <v>2.45716</v>
      </c>
      <c r="Y94" s="125">
        <v>0.94791666666666663</v>
      </c>
      <c r="Z94" s="166"/>
      <c r="AA94" s="125">
        <v>0.94791666666666663</v>
      </c>
      <c r="AB94" s="166"/>
      <c r="AC94" s="125">
        <v>0.94791666666666663</v>
      </c>
      <c r="AD94" s="166"/>
      <c r="AF94" s="125">
        <v>0.94791666666666663</v>
      </c>
      <c r="AG94" s="166">
        <v>1.40019</v>
      </c>
      <c r="AH94" s="125">
        <v>0.94791666666666663</v>
      </c>
      <c r="AI94" s="208">
        <v>2.06094</v>
      </c>
      <c r="AJ94" s="125">
        <v>0.94791666666666663</v>
      </c>
      <c r="AK94" s="166">
        <v>2.67361</v>
      </c>
      <c r="AM94" s="125">
        <v>0.94791666666666663</v>
      </c>
      <c r="AN94" s="166">
        <v>1.3998699999999999</v>
      </c>
      <c r="AO94" s="125">
        <v>0.94791666666666663</v>
      </c>
      <c r="AP94" s="214">
        <v>3.4096199999999999</v>
      </c>
      <c r="AQ94" s="125">
        <v>0.94791666666666663</v>
      </c>
      <c r="AR94" s="166">
        <v>2.8833500000000001</v>
      </c>
      <c r="AT94" s="125">
        <v>0.94791666666666663</v>
      </c>
      <c r="AU94" s="21"/>
      <c r="AW94" s="125">
        <v>0.94791666666666663</v>
      </c>
      <c r="AX94" s="21"/>
    </row>
    <row r="95" spans="1:50" x14ac:dyDescent="0.3">
      <c r="A95" s="123">
        <v>0.875</v>
      </c>
      <c r="B95" s="133">
        <f t="shared" si="1"/>
        <v>0</v>
      </c>
      <c r="D95" s="125">
        <v>0.95833333333333337</v>
      </c>
      <c r="E95" s="166"/>
      <c r="F95" s="125">
        <v>0.95833333333333337</v>
      </c>
      <c r="G95" s="166"/>
      <c r="H95" s="125">
        <v>0.95833333333333337</v>
      </c>
      <c r="I95" s="166"/>
      <c r="K95" s="125">
        <v>0.95833333333333337</v>
      </c>
      <c r="L95" s="166"/>
      <c r="M95" s="125">
        <v>0.95833333333333337</v>
      </c>
      <c r="N95" s="166"/>
      <c r="O95" s="125">
        <v>0.95833333333333337</v>
      </c>
      <c r="P95" s="166"/>
      <c r="R95" s="125">
        <v>0.95833333333333337</v>
      </c>
      <c r="S95" s="166">
        <v>1.2784899999999999</v>
      </c>
      <c r="T95" s="125">
        <v>0.95833333333333337</v>
      </c>
      <c r="U95" s="166">
        <v>1.92499</v>
      </c>
      <c r="V95" s="125">
        <v>0.95833333333333337</v>
      </c>
      <c r="W95" s="166">
        <v>2.45716</v>
      </c>
      <c r="Y95" s="125">
        <v>0.95833333333333337</v>
      </c>
      <c r="Z95" s="166"/>
      <c r="AA95" s="125">
        <v>0.95833333333333337</v>
      </c>
      <c r="AB95" s="166"/>
      <c r="AC95" s="125">
        <v>0.95833333333333337</v>
      </c>
      <c r="AD95" s="166"/>
      <c r="AF95" s="125">
        <v>0.95833333333333337</v>
      </c>
      <c r="AG95" s="166">
        <v>1.40019</v>
      </c>
      <c r="AH95" s="125">
        <v>0.95833333333333337</v>
      </c>
      <c r="AI95" s="208">
        <v>2.06094</v>
      </c>
      <c r="AJ95" s="125">
        <v>0.95833333333333337</v>
      </c>
      <c r="AK95" s="166">
        <v>2.67361</v>
      </c>
      <c r="AM95" s="125">
        <v>0.95833333333333337</v>
      </c>
      <c r="AN95" s="166">
        <v>1.3998699999999999</v>
      </c>
      <c r="AO95" s="125">
        <v>0.95833333333333337</v>
      </c>
      <c r="AP95" s="214">
        <v>3.4096199999999999</v>
      </c>
      <c r="AQ95" s="125">
        <v>0.95833333333333337</v>
      </c>
      <c r="AR95" s="166">
        <v>2.8833500000000001</v>
      </c>
      <c r="AT95" s="125">
        <v>0.95833333333333337</v>
      </c>
      <c r="AU95" s="21"/>
      <c r="AW95" s="125">
        <v>0.95833333333333337</v>
      </c>
      <c r="AX95" s="21"/>
    </row>
    <row r="96" spans="1:50" x14ac:dyDescent="0.3">
      <c r="A96" s="123">
        <v>0.88541666666666663</v>
      </c>
      <c r="B96" s="133">
        <f t="shared" si="1"/>
        <v>0</v>
      </c>
      <c r="D96" s="125">
        <v>0.96875</v>
      </c>
      <c r="E96" s="166"/>
      <c r="F96" s="125">
        <v>0.96875</v>
      </c>
      <c r="G96" s="166"/>
      <c r="H96" s="125">
        <v>0.96875</v>
      </c>
      <c r="I96" s="166"/>
      <c r="K96" s="125">
        <v>0.96875</v>
      </c>
      <c r="L96" s="166"/>
      <c r="M96" s="125">
        <v>0.96875</v>
      </c>
      <c r="N96" s="166"/>
      <c r="O96" s="125">
        <v>0.96875</v>
      </c>
      <c r="P96" s="166"/>
      <c r="R96" s="125">
        <v>0.96875</v>
      </c>
      <c r="S96" s="166">
        <v>0.95416299999999998</v>
      </c>
      <c r="T96" s="125">
        <v>0.96875</v>
      </c>
      <c r="U96" s="166">
        <v>1.4043399999999999</v>
      </c>
      <c r="V96" s="125">
        <v>0.96875</v>
      </c>
      <c r="W96" s="166">
        <v>2.3008799999999998</v>
      </c>
      <c r="Y96" s="125">
        <v>0.96875</v>
      </c>
      <c r="Z96" s="166"/>
      <c r="AA96" s="125">
        <v>0.96875</v>
      </c>
      <c r="AB96" s="166"/>
      <c r="AC96" s="125">
        <v>0.96875</v>
      </c>
      <c r="AD96" s="166"/>
      <c r="AF96" s="125">
        <v>0.96875</v>
      </c>
      <c r="AG96" s="166">
        <v>1.2548999999999999</v>
      </c>
      <c r="AH96" s="125">
        <v>0.96875</v>
      </c>
      <c r="AI96" s="208">
        <v>1.96116</v>
      </c>
      <c r="AJ96" s="125">
        <v>0.96875</v>
      </c>
      <c r="AK96" s="166">
        <v>2.5515699999999999</v>
      </c>
      <c r="AM96" s="125">
        <v>0.96875</v>
      </c>
      <c r="AN96" s="166">
        <v>1.1147100000000001</v>
      </c>
      <c r="AO96" s="125">
        <v>0.96875</v>
      </c>
      <c r="AP96" s="214">
        <v>1.9933799999999999</v>
      </c>
      <c r="AQ96" s="125">
        <v>0.96875</v>
      </c>
      <c r="AR96" s="166">
        <v>2.7379799999999999</v>
      </c>
      <c r="AT96" s="125">
        <v>0.96875</v>
      </c>
      <c r="AU96" s="21"/>
      <c r="AW96" s="125">
        <v>0.96875</v>
      </c>
      <c r="AX96" s="21"/>
    </row>
    <row r="97" spans="1:51" x14ac:dyDescent="0.3">
      <c r="A97" s="123">
        <v>0.89583333333333337</v>
      </c>
      <c r="B97" s="133">
        <f t="shared" si="1"/>
        <v>0</v>
      </c>
      <c r="D97" s="125">
        <v>0.97916666666666663</v>
      </c>
      <c r="E97" s="166"/>
      <c r="F97" s="125">
        <v>0.97916666666666663</v>
      </c>
      <c r="G97" s="166"/>
      <c r="H97" s="125">
        <v>0.97916666666666663</v>
      </c>
      <c r="I97" s="166"/>
      <c r="K97" s="125">
        <v>0.97916666666666663</v>
      </c>
      <c r="L97" s="166"/>
      <c r="M97" s="125">
        <v>0.97916666666666663</v>
      </c>
      <c r="N97" s="166"/>
      <c r="O97" s="125">
        <v>0.97916666666666663</v>
      </c>
      <c r="P97" s="166"/>
      <c r="R97" s="125">
        <v>0.97916666666666663</v>
      </c>
      <c r="S97" s="166">
        <v>0.95416299999999998</v>
      </c>
      <c r="T97" s="125">
        <v>0.97916666666666663</v>
      </c>
      <c r="U97" s="166">
        <v>1.4043399999999999</v>
      </c>
      <c r="V97" s="125">
        <v>0.97916666666666663</v>
      </c>
      <c r="W97" s="166">
        <v>2.3008799999999998</v>
      </c>
      <c r="Y97" s="125">
        <v>0.97916666666666663</v>
      </c>
      <c r="Z97" s="166"/>
      <c r="AA97" s="125">
        <v>0.97916666666666663</v>
      </c>
      <c r="AB97" s="166"/>
      <c r="AC97" s="125">
        <v>0.97916666666666663</v>
      </c>
      <c r="AD97" s="166"/>
      <c r="AF97" s="125">
        <v>0.97916666666666663</v>
      </c>
      <c r="AG97" s="166">
        <v>1.2548999999999999</v>
      </c>
      <c r="AH97" s="125">
        <v>0.97916666666666663</v>
      </c>
      <c r="AI97" s="208">
        <v>1.96116</v>
      </c>
      <c r="AJ97" s="125">
        <v>0.97916666666666663</v>
      </c>
      <c r="AK97" s="166">
        <v>2.5515699999999999</v>
      </c>
      <c r="AM97" s="125">
        <v>0.97916666666666663</v>
      </c>
      <c r="AN97" s="166">
        <v>1.1147100000000001</v>
      </c>
      <c r="AO97" s="125">
        <v>0.97916666666666663</v>
      </c>
      <c r="AP97" s="214">
        <v>1.9933799999999999</v>
      </c>
      <c r="AQ97" s="125">
        <v>0.97916666666666663</v>
      </c>
      <c r="AR97" s="166">
        <v>2.7379799999999999</v>
      </c>
      <c r="AT97" s="125">
        <v>0.97916666666666663</v>
      </c>
      <c r="AU97" s="21"/>
      <c r="AW97" s="125">
        <v>0.97916666666666663</v>
      </c>
      <c r="AX97" s="21"/>
    </row>
    <row r="98" spans="1:51" x14ac:dyDescent="0.3">
      <c r="A98" s="123">
        <v>0.90625</v>
      </c>
      <c r="B98" s="133">
        <f t="shared" si="1"/>
        <v>0</v>
      </c>
      <c r="D98" s="125">
        <v>0.98958333333333337</v>
      </c>
      <c r="E98" s="166"/>
      <c r="F98" s="125">
        <v>0.98958333333333337</v>
      </c>
      <c r="G98" s="166"/>
      <c r="H98" s="125">
        <v>0.98958333333333337</v>
      </c>
      <c r="I98" s="166"/>
      <c r="K98" s="125">
        <v>0.98958333333333337</v>
      </c>
      <c r="L98" s="166"/>
      <c r="M98" s="125">
        <v>0.98958333333333337</v>
      </c>
      <c r="N98" s="166"/>
      <c r="O98" s="125">
        <v>0.98958333333333337</v>
      </c>
      <c r="P98" s="166"/>
      <c r="R98" s="125">
        <v>0.98958333333333337</v>
      </c>
      <c r="S98" s="166">
        <v>0.95416299999999998</v>
      </c>
      <c r="T98" s="125">
        <v>0.98958333333333337</v>
      </c>
      <c r="U98" s="166">
        <v>1.4043399999999999</v>
      </c>
      <c r="V98" s="125">
        <v>0.98958333333333337</v>
      </c>
      <c r="W98" s="166">
        <v>2.3008799999999998</v>
      </c>
      <c r="Y98" s="125">
        <v>0.98958333333333337</v>
      </c>
      <c r="Z98" s="166"/>
      <c r="AA98" s="125">
        <v>0.98958333333333337</v>
      </c>
      <c r="AB98" s="166"/>
      <c r="AC98" s="125">
        <v>0.98958333333333337</v>
      </c>
      <c r="AD98" s="166"/>
      <c r="AF98" s="125">
        <v>0.98958333333333337</v>
      </c>
      <c r="AG98" s="166">
        <v>1.2548999999999999</v>
      </c>
      <c r="AH98" s="125">
        <v>0.98958333333333337</v>
      </c>
      <c r="AI98" s="208">
        <v>1.96116</v>
      </c>
      <c r="AJ98" s="125">
        <v>0.98958333333333337</v>
      </c>
      <c r="AK98" s="166">
        <v>2.5515699999999999</v>
      </c>
      <c r="AM98" s="125">
        <v>0.98958333333333337</v>
      </c>
      <c r="AN98" s="166">
        <v>1.1147100000000001</v>
      </c>
      <c r="AO98" s="125">
        <v>0.98958333333333337</v>
      </c>
      <c r="AP98" s="214">
        <v>1.9933799999999999</v>
      </c>
      <c r="AQ98" s="125">
        <v>0.98958333333333337</v>
      </c>
      <c r="AR98" s="166">
        <v>2.7379799999999999</v>
      </c>
      <c r="AT98" s="125">
        <v>0.98958333333333337</v>
      </c>
      <c r="AU98" s="21"/>
      <c r="AW98" s="125">
        <v>0.98958333333333337</v>
      </c>
      <c r="AX98" s="21"/>
    </row>
    <row r="99" spans="1:51" x14ac:dyDescent="0.3">
      <c r="A99" s="123">
        <v>0.91666666666666663</v>
      </c>
      <c r="B99" s="133">
        <f t="shared" si="1"/>
        <v>0</v>
      </c>
      <c r="D99" s="126">
        <v>1</v>
      </c>
      <c r="E99" s="167"/>
      <c r="F99" s="126">
        <v>1</v>
      </c>
      <c r="G99" s="167"/>
      <c r="H99" s="126">
        <v>1</v>
      </c>
      <c r="I99" s="167"/>
      <c r="K99" s="126">
        <v>1</v>
      </c>
      <c r="L99" s="167"/>
      <c r="M99" s="126">
        <v>1</v>
      </c>
      <c r="N99" s="167"/>
      <c r="O99" s="126">
        <v>1</v>
      </c>
      <c r="P99" s="167"/>
      <c r="R99" s="126">
        <v>1</v>
      </c>
      <c r="S99" s="167">
        <v>0.95416299999999998</v>
      </c>
      <c r="T99" s="126">
        <v>1</v>
      </c>
      <c r="U99" s="167">
        <v>1.4043399999999999</v>
      </c>
      <c r="V99" s="126">
        <v>1</v>
      </c>
      <c r="W99" s="167">
        <v>2.3008799999999998</v>
      </c>
      <c r="Y99" s="126">
        <v>1</v>
      </c>
      <c r="Z99" s="167"/>
      <c r="AA99" s="126">
        <v>1</v>
      </c>
      <c r="AB99" s="167"/>
      <c r="AC99" s="126">
        <v>1</v>
      </c>
      <c r="AD99" s="167"/>
      <c r="AF99" s="126">
        <v>1</v>
      </c>
      <c r="AG99" s="167">
        <v>1.2548999999999999</v>
      </c>
      <c r="AH99" s="126">
        <v>1</v>
      </c>
      <c r="AI99" s="204">
        <v>1.96116</v>
      </c>
      <c r="AJ99" s="126">
        <v>1</v>
      </c>
      <c r="AK99" s="167">
        <v>2.5515699999999999</v>
      </c>
      <c r="AM99" s="126">
        <v>1</v>
      </c>
      <c r="AN99" s="167">
        <v>1.1147100000000001</v>
      </c>
      <c r="AO99" s="126">
        <v>1</v>
      </c>
      <c r="AP99" s="222">
        <v>1.9933799999999999</v>
      </c>
      <c r="AQ99" s="126">
        <v>1</v>
      </c>
      <c r="AR99" s="167">
        <v>2.7379799999999999</v>
      </c>
      <c r="AT99" s="126">
        <v>1</v>
      </c>
      <c r="AU99" s="28"/>
      <c r="AW99" s="126">
        <v>1</v>
      </c>
      <c r="AX99" s="28"/>
    </row>
    <row r="100" spans="1:51" x14ac:dyDescent="0.3">
      <c r="A100" s="123">
        <v>0.92708333333333337</v>
      </c>
      <c r="B100" s="133">
        <f t="shared" si="1"/>
        <v>0</v>
      </c>
    </row>
    <row r="101" spans="1:51" x14ac:dyDescent="0.3">
      <c r="A101" s="123">
        <v>0.9375</v>
      </c>
      <c r="B101" s="133">
        <f t="shared" si="1"/>
        <v>0</v>
      </c>
      <c r="E101" s="129">
        <f>SUM(E4:E99)/4</f>
        <v>0</v>
      </c>
      <c r="F101" s="173" t="s">
        <v>246</v>
      </c>
      <c r="G101" s="129">
        <f t="shared" ref="G101:I101" si="2">SUM(G4:G99)/4</f>
        <v>0</v>
      </c>
      <c r="H101" s="173" t="s">
        <v>246</v>
      </c>
      <c r="I101" s="129">
        <f t="shared" si="2"/>
        <v>0</v>
      </c>
      <c r="J101" s="173" t="s">
        <v>246</v>
      </c>
      <c r="L101" s="129">
        <f>SUM(L4:L99)/4</f>
        <v>0</v>
      </c>
      <c r="M101" s="173" t="s">
        <v>246</v>
      </c>
      <c r="N101" s="129">
        <f t="shared" ref="N101" si="3">SUM(N4:N99)/4</f>
        <v>0</v>
      </c>
      <c r="O101" s="173" t="s">
        <v>246</v>
      </c>
      <c r="P101" s="129">
        <f t="shared" ref="P101" si="4">SUM(P4:P99)/4</f>
        <v>0</v>
      </c>
      <c r="Q101" s="173" t="s">
        <v>246</v>
      </c>
      <c r="S101" s="129">
        <f>SUM(S4:S99)/4</f>
        <v>32.736762999999996</v>
      </c>
      <c r="T101" s="173" t="s">
        <v>246</v>
      </c>
      <c r="U101" s="129">
        <f t="shared" ref="U101" si="5">SUM(U4:U99)/4</f>
        <v>46.970081000000008</v>
      </c>
      <c r="V101" s="173" t="s">
        <v>246</v>
      </c>
      <c r="W101" s="129">
        <f t="shared" ref="W101" si="6">SUM(W4:W99)/4</f>
        <v>59.055359000000031</v>
      </c>
      <c r="X101" s="173" t="s">
        <v>246</v>
      </c>
      <c r="Z101" s="129">
        <f>SUM(Z4:Z99)/4</f>
        <v>0</v>
      </c>
      <c r="AA101" s="173" t="s">
        <v>246</v>
      </c>
      <c r="AB101" s="129">
        <f t="shared" ref="AB101" si="7">SUM(AB4:AB99)/4</f>
        <v>0</v>
      </c>
      <c r="AC101" s="173" t="s">
        <v>246</v>
      </c>
      <c r="AD101" s="129">
        <f t="shared" ref="AD101" si="8">SUM(AD4:AD99)/4</f>
        <v>0</v>
      </c>
      <c r="AE101" s="173" t="s">
        <v>246</v>
      </c>
      <c r="AG101" s="129">
        <f>SUM(AG4:AG99)/4</f>
        <v>35.723596000000008</v>
      </c>
      <c r="AH101" s="173" t="s">
        <v>246</v>
      </c>
      <c r="AI101" s="129">
        <f t="shared" ref="AI101:AK101" si="9">SUM(AI4:AI99)/4</f>
        <v>53.618539999999989</v>
      </c>
      <c r="AJ101" s="173" t="s">
        <v>246</v>
      </c>
      <c r="AK101" s="129">
        <f t="shared" si="9"/>
        <v>66.450420000000051</v>
      </c>
      <c r="AL101" s="173" t="s">
        <v>246</v>
      </c>
      <c r="AN101" s="129">
        <f>SUM(AN4:AN99)/4</f>
        <v>35.513616999999975</v>
      </c>
      <c r="AO101" s="173" t="s">
        <v>246</v>
      </c>
      <c r="AP101" s="129">
        <f>SUM(AP4:AP99)/4</f>
        <v>57.709026000000009</v>
      </c>
      <c r="AQ101" s="173" t="s">
        <v>246</v>
      </c>
      <c r="AR101" s="129">
        <f>SUM(AR4:AR99)/4</f>
        <v>66.268805999999984</v>
      </c>
      <c r="AS101" s="173" t="s">
        <v>246</v>
      </c>
      <c r="AU101" s="129">
        <f>SUM(AU4:AU99)/4</f>
        <v>0</v>
      </c>
      <c r="AV101" s="173" t="s">
        <v>246</v>
      </c>
      <c r="AX101" s="129">
        <f>SUM(AX4:AX99)/4</f>
        <v>0</v>
      </c>
      <c r="AY101" s="173" t="s">
        <v>246</v>
      </c>
    </row>
    <row r="102" spans="1:51" x14ac:dyDescent="0.3">
      <c r="A102" s="123">
        <v>0.94791666666666663</v>
      </c>
      <c r="B102" s="133">
        <f t="shared" si="1"/>
        <v>0</v>
      </c>
    </row>
    <row r="103" spans="1:51" x14ac:dyDescent="0.3">
      <c r="A103" s="123">
        <v>0.95833333333333337</v>
      </c>
      <c r="B103" s="133">
        <f t="shared" si="1"/>
        <v>0</v>
      </c>
    </row>
    <row r="104" spans="1:51" x14ac:dyDescent="0.3">
      <c r="A104" s="123">
        <v>0.96875</v>
      </c>
      <c r="B104" s="133">
        <f t="shared" si="1"/>
        <v>0</v>
      </c>
    </row>
    <row r="105" spans="1:51" x14ac:dyDescent="0.3">
      <c r="A105" s="123">
        <v>0.97916666666666663</v>
      </c>
      <c r="B105" s="133">
        <f t="shared" si="1"/>
        <v>0</v>
      </c>
    </row>
    <row r="106" spans="1:51" x14ac:dyDescent="0.3">
      <c r="A106" s="123">
        <v>0.98958333333333337</v>
      </c>
      <c r="B106" s="133">
        <f t="shared" si="1"/>
        <v>0</v>
      </c>
    </row>
    <row r="107" spans="1:51" x14ac:dyDescent="0.3">
      <c r="A107" s="123">
        <v>1</v>
      </c>
      <c r="B107" s="134">
        <f t="shared" si="1"/>
        <v>0</v>
      </c>
    </row>
    <row r="109" spans="1:51" x14ac:dyDescent="0.3">
      <c r="B109" s="170" t="s">
        <v>247</v>
      </c>
    </row>
    <row r="110" spans="1:51" x14ac:dyDescent="0.3">
      <c r="B110" s="171">
        <f>SUM(B12:B107)/4000</f>
        <v>0</v>
      </c>
    </row>
    <row r="112" spans="1:51" ht="28.8" x14ac:dyDescent="0.3">
      <c r="B112" s="264" t="s">
        <v>288</v>
      </c>
    </row>
    <row r="113" spans="2:2" x14ac:dyDescent="0.3">
      <c r="B113" s="171">
        <f>MAX('HVAC Appliances'!D6:D101)*1.33</f>
        <v>0</v>
      </c>
    </row>
  </sheetData>
  <mergeCells count="8">
    <mergeCell ref="AT2:AU2"/>
    <mergeCell ref="AW2:AX2"/>
    <mergeCell ref="D1:I1"/>
    <mergeCell ref="K1:P1"/>
    <mergeCell ref="Y1:AD1"/>
    <mergeCell ref="AF1:AH1"/>
    <mergeCell ref="AM1:AO1"/>
    <mergeCell ref="R1:T1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AE1C-49B0-4F13-AAAE-02FB8BC59155}">
  <sheetPr codeName="Sheet26"/>
  <dimension ref="A2:AQ107"/>
  <sheetViews>
    <sheetView zoomScale="80" zoomScaleNormal="80" workbookViewId="0"/>
  </sheetViews>
  <sheetFormatPr defaultRowHeight="14.4" x14ac:dyDescent="0.3"/>
  <cols>
    <col min="1" max="1" width="9.5546875" bestFit="1" customWidth="1"/>
    <col min="2" max="2" width="26.33203125" bestFit="1" customWidth="1"/>
    <col min="4" max="4" width="10.77734375" customWidth="1"/>
    <col min="5" max="5" width="17.6640625" bestFit="1" customWidth="1"/>
    <col min="6" max="6" width="9.21875" customWidth="1"/>
    <col min="7" max="7" width="17.6640625" bestFit="1" customWidth="1"/>
    <col min="9" max="9" width="10.77734375" customWidth="1"/>
    <col min="10" max="10" width="17.6640625" bestFit="1" customWidth="1"/>
    <col min="11" max="11" width="9.21875" customWidth="1"/>
    <col min="12" max="12" width="17.6640625" bestFit="1" customWidth="1"/>
    <col min="14" max="14" width="10.77734375" customWidth="1"/>
    <col min="15" max="15" width="17.6640625" bestFit="1" customWidth="1"/>
    <col min="16" max="16" width="9.21875" customWidth="1"/>
    <col min="17" max="17" width="17.6640625" bestFit="1" customWidth="1"/>
    <col min="19" max="19" width="10.77734375" customWidth="1"/>
    <col min="20" max="20" width="17.6640625" bestFit="1" customWidth="1"/>
    <col min="21" max="21" width="9.21875" customWidth="1"/>
    <col min="22" max="22" width="17.6640625" bestFit="1" customWidth="1"/>
    <col min="24" max="24" width="10.77734375" bestFit="1" customWidth="1"/>
    <col min="25" max="25" width="17.6640625" bestFit="1" customWidth="1"/>
    <col min="26" max="26" width="9.21875" bestFit="1" customWidth="1"/>
    <col min="27" max="27" width="17.6640625" bestFit="1" customWidth="1"/>
    <col min="28" max="28" width="8.88671875" customWidth="1"/>
    <col min="29" max="29" width="10.77734375" customWidth="1"/>
    <col min="30" max="30" width="17.6640625" bestFit="1" customWidth="1"/>
    <col min="31" max="31" width="9.21875" customWidth="1"/>
    <col min="32" max="32" width="17.6640625" bestFit="1" customWidth="1"/>
    <col min="35" max="35" width="17.6640625" bestFit="1" customWidth="1"/>
    <col min="37" max="37" width="17.6640625" bestFit="1" customWidth="1"/>
    <col min="40" max="40" width="17.6640625" bestFit="1" customWidth="1"/>
    <col min="42" max="42" width="17.6640625" bestFit="1" customWidth="1"/>
  </cols>
  <sheetData>
    <row r="2" spans="1:42" x14ac:dyDescent="0.3">
      <c r="B2" s="135" t="s">
        <v>222</v>
      </c>
      <c r="D2" s="150" t="s">
        <v>159</v>
      </c>
      <c r="E2" s="153"/>
      <c r="F2" s="164"/>
      <c r="G2" s="155"/>
      <c r="H2" s="22"/>
      <c r="I2" s="150" t="s">
        <v>160</v>
      </c>
      <c r="J2" s="153"/>
      <c r="K2" s="164"/>
      <c r="L2" s="155"/>
      <c r="M2" s="22"/>
      <c r="N2" s="150" t="s">
        <v>161</v>
      </c>
      <c r="O2" s="153"/>
      <c r="P2" s="267" t="s">
        <v>290</v>
      </c>
      <c r="Q2" s="155"/>
      <c r="R2" s="22"/>
      <c r="S2" s="150" t="s">
        <v>162</v>
      </c>
      <c r="T2" s="153"/>
      <c r="U2" s="164"/>
      <c r="V2" s="155"/>
      <c r="W2" s="22"/>
      <c r="X2" s="228" t="s">
        <v>163</v>
      </c>
      <c r="Y2" s="229"/>
      <c r="Z2" s="230" t="s">
        <v>276</v>
      </c>
      <c r="AA2" s="231"/>
      <c r="AB2" s="22"/>
      <c r="AC2" s="228" t="s">
        <v>164</v>
      </c>
      <c r="AD2" s="229"/>
      <c r="AE2" s="230" t="s">
        <v>273</v>
      </c>
      <c r="AF2" s="232"/>
      <c r="AH2" s="150" t="s">
        <v>228</v>
      </c>
      <c r="AI2" s="153"/>
      <c r="AJ2" s="154"/>
      <c r="AK2" s="151"/>
      <c r="AM2" s="150" t="s">
        <v>227</v>
      </c>
      <c r="AN2" s="153"/>
      <c r="AO2" s="154"/>
      <c r="AP2" s="151"/>
    </row>
    <row r="3" spans="1:42" x14ac:dyDescent="0.3">
      <c r="B3" s="43">
        <f>'User Interface'!C8</f>
        <v>0</v>
      </c>
      <c r="D3" s="140" t="s">
        <v>226</v>
      </c>
      <c r="E3" s="142" t="s">
        <v>216</v>
      </c>
      <c r="F3" s="141" t="s">
        <v>226</v>
      </c>
      <c r="G3" s="130" t="s">
        <v>216</v>
      </c>
      <c r="H3" s="22"/>
      <c r="I3" s="140" t="s">
        <v>226</v>
      </c>
      <c r="J3" s="142" t="s">
        <v>216</v>
      </c>
      <c r="K3" s="141" t="s">
        <v>226</v>
      </c>
      <c r="L3" s="130" t="s">
        <v>216</v>
      </c>
      <c r="M3" s="22"/>
      <c r="N3" s="140" t="s">
        <v>226</v>
      </c>
      <c r="O3" s="142" t="s">
        <v>216</v>
      </c>
      <c r="P3" s="141" t="s">
        <v>226</v>
      </c>
      <c r="Q3" s="130" t="s">
        <v>216</v>
      </c>
      <c r="R3" s="22"/>
      <c r="S3" s="140" t="s">
        <v>226</v>
      </c>
      <c r="T3" s="142" t="s">
        <v>216</v>
      </c>
      <c r="U3" s="141" t="s">
        <v>226</v>
      </c>
      <c r="V3" s="130" t="s">
        <v>216</v>
      </c>
      <c r="W3" s="22"/>
      <c r="X3" s="140" t="s">
        <v>226</v>
      </c>
      <c r="Y3" s="142" t="s">
        <v>216</v>
      </c>
      <c r="Z3" s="141" t="s">
        <v>226</v>
      </c>
      <c r="AA3" s="130" t="s">
        <v>216</v>
      </c>
      <c r="AB3" s="22"/>
      <c r="AC3" s="140" t="s">
        <v>226</v>
      </c>
      <c r="AD3" s="142" t="s">
        <v>216</v>
      </c>
      <c r="AE3" s="141" t="s">
        <v>226</v>
      </c>
      <c r="AF3" s="130" t="s">
        <v>216</v>
      </c>
      <c r="AH3" s="140" t="s">
        <v>226</v>
      </c>
      <c r="AI3" s="143" t="s">
        <v>216</v>
      </c>
      <c r="AJ3" s="141" t="s">
        <v>226</v>
      </c>
      <c r="AK3" s="130" t="s">
        <v>216</v>
      </c>
      <c r="AM3" s="140" t="s">
        <v>226</v>
      </c>
      <c r="AN3" s="143" t="s">
        <v>216</v>
      </c>
      <c r="AO3" s="141" t="s">
        <v>226</v>
      </c>
      <c r="AP3" s="130" t="s">
        <v>216</v>
      </c>
    </row>
    <row r="4" spans="1:42" x14ac:dyDescent="0.3">
      <c r="D4" s="125">
        <v>4.1666666666666664E-2</v>
      </c>
      <c r="F4" s="123">
        <v>1.0416666666666666E-2</v>
      </c>
      <c r="G4" s="21">
        <f>E4</f>
        <v>0</v>
      </c>
      <c r="H4" s="22"/>
      <c r="I4" s="125">
        <v>4.1666666666666664E-2</v>
      </c>
      <c r="K4" s="123">
        <v>1.0416666666666666E-2</v>
      </c>
      <c r="L4" s="21">
        <f>J4</f>
        <v>0</v>
      </c>
      <c r="M4" s="22"/>
      <c r="N4" s="125">
        <v>4.1666666666666664E-2</v>
      </c>
      <c r="O4">
        <v>0</v>
      </c>
      <c r="P4" s="123">
        <v>1.0416666666666666E-2</v>
      </c>
      <c r="Q4" s="21">
        <f>O4</f>
        <v>0</v>
      </c>
      <c r="R4" s="22"/>
      <c r="S4" s="125">
        <v>4.1666666666666664E-2</v>
      </c>
      <c r="U4" s="123">
        <v>1.0416666666666666E-2</v>
      </c>
      <c r="V4" s="21">
        <f>T4</f>
        <v>0</v>
      </c>
      <c r="W4" s="22"/>
      <c r="X4" s="125">
        <v>4.1666666666666664E-2</v>
      </c>
      <c r="Y4" s="208">
        <v>0</v>
      </c>
      <c r="Z4" s="123">
        <v>1.0416666666666666E-2</v>
      </c>
      <c r="AA4" s="21">
        <f>Y4</f>
        <v>0</v>
      </c>
      <c r="AB4" s="22"/>
      <c r="AC4" s="125">
        <v>4.1666666666666664E-2</v>
      </c>
      <c r="AD4" s="214">
        <v>0</v>
      </c>
      <c r="AE4" s="123">
        <v>1.0416666666666666E-2</v>
      </c>
      <c r="AF4" s="21">
        <f>AD4</f>
        <v>0</v>
      </c>
      <c r="AH4" s="125">
        <v>4.1666666666666664E-2</v>
      </c>
      <c r="AJ4" s="123">
        <v>1.0416666666666666E-2</v>
      </c>
      <c r="AK4" s="21">
        <f>AI4</f>
        <v>0</v>
      </c>
      <c r="AM4" s="125">
        <v>4.1666666666666664E-2</v>
      </c>
      <c r="AN4" s="123"/>
      <c r="AO4" s="123">
        <v>1.0416666666666666E-2</v>
      </c>
      <c r="AP4" s="21">
        <f>AN4</f>
        <v>0</v>
      </c>
    </row>
    <row r="5" spans="1:42" x14ac:dyDescent="0.3">
      <c r="B5" s="139" t="s">
        <v>225</v>
      </c>
      <c r="D5" s="125">
        <v>8.3333333333333329E-2</v>
      </c>
      <c r="F5" s="123">
        <v>2.0833333333333332E-2</v>
      </c>
      <c r="G5" s="21">
        <f>E4</f>
        <v>0</v>
      </c>
      <c r="H5" s="22"/>
      <c r="I5" s="125">
        <v>8.3333333333333329E-2</v>
      </c>
      <c r="K5" s="123">
        <v>2.0833333333333332E-2</v>
      </c>
      <c r="L5" s="21">
        <f>J4</f>
        <v>0</v>
      </c>
      <c r="M5" s="22"/>
      <c r="N5" s="125">
        <v>8.3333333333333329E-2</v>
      </c>
      <c r="O5">
        <v>0</v>
      </c>
      <c r="P5" s="123">
        <v>2.0833333333333332E-2</v>
      </c>
      <c r="Q5" s="21">
        <f>O4</f>
        <v>0</v>
      </c>
      <c r="R5" s="22"/>
      <c r="S5" s="125">
        <v>8.3333333333333329E-2</v>
      </c>
      <c r="U5" s="123">
        <v>2.0833333333333332E-2</v>
      </c>
      <c r="V5" s="21">
        <f>T4</f>
        <v>0</v>
      </c>
      <c r="W5" s="22"/>
      <c r="X5" s="125">
        <v>8.3333333333333329E-2</v>
      </c>
      <c r="Y5" s="208">
        <v>0</v>
      </c>
      <c r="Z5" s="123">
        <v>2.0833333333333332E-2</v>
      </c>
      <c r="AA5" s="21">
        <f>Y4</f>
        <v>0</v>
      </c>
      <c r="AB5" s="22"/>
      <c r="AC5" s="125">
        <v>8.3333333333333329E-2</v>
      </c>
      <c r="AD5" s="214">
        <v>0</v>
      </c>
      <c r="AE5" s="123">
        <v>2.0833333333333332E-2</v>
      </c>
      <c r="AF5" s="21">
        <f>AD4</f>
        <v>0</v>
      </c>
      <c r="AH5" s="125">
        <v>8.3333333333333329E-2</v>
      </c>
      <c r="AJ5" s="123">
        <v>2.0833333333333332E-2</v>
      </c>
      <c r="AK5" s="21">
        <f>AI4</f>
        <v>0</v>
      </c>
      <c r="AM5" s="125">
        <v>8.3333333333333329E-2</v>
      </c>
      <c r="AN5" s="123"/>
      <c r="AO5" s="123">
        <v>2.0833333333333332E-2</v>
      </c>
      <c r="AP5" s="21">
        <f>AN4</f>
        <v>0</v>
      </c>
    </row>
    <row r="6" spans="1:42" x14ac:dyDescent="0.3">
      <c r="B6" s="43">
        <f>'User Interface'!E28</f>
        <v>0</v>
      </c>
      <c r="D6" s="125">
        <v>0.125</v>
      </c>
      <c r="F6" s="123">
        <v>3.125E-2</v>
      </c>
      <c r="G6" s="21">
        <f>E4</f>
        <v>0</v>
      </c>
      <c r="H6" s="22"/>
      <c r="I6" s="125">
        <v>0.125</v>
      </c>
      <c r="K6" s="123">
        <v>3.125E-2</v>
      </c>
      <c r="L6" s="21">
        <f>J4</f>
        <v>0</v>
      </c>
      <c r="M6" s="22"/>
      <c r="N6" s="125">
        <v>0.125</v>
      </c>
      <c r="O6">
        <v>0</v>
      </c>
      <c r="P6" s="123">
        <v>3.125E-2</v>
      </c>
      <c r="Q6" s="21">
        <f>O4</f>
        <v>0</v>
      </c>
      <c r="R6" s="22"/>
      <c r="S6" s="125">
        <v>0.125</v>
      </c>
      <c r="U6" s="123">
        <v>3.125E-2</v>
      </c>
      <c r="V6" s="21">
        <f>T4</f>
        <v>0</v>
      </c>
      <c r="W6" s="22"/>
      <c r="X6" s="125">
        <v>0.125</v>
      </c>
      <c r="Y6" s="208">
        <v>0</v>
      </c>
      <c r="Z6" s="123">
        <v>3.125E-2</v>
      </c>
      <c r="AA6" s="21">
        <f>Y4</f>
        <v>0</v>
      </c>
      <c r="AB6" s="22"/>
      <c r="AC6" s="125">
        <v>0.125</v>
      </c>
      <c r="AD6" s="214">
        <v>0</v>
      </c>
      <c r="AE6" s="123">
        <v>3.125E-2</v>
      </c>
      <c r="AF6" s="21">
        <f>AD4</f>
        <v>0</v>
      </c>
      <c r="AH6" s="125">
        <v>0.125</v>
      </c>
      <c r="AJ6" s="123">
        <v>3.125E-2</v>
      </c>
      <c r="AK6" s="21">
        <f>AI4</f>
        <v>0</v>
      </c>
      <c r="AM6" s="125">
        <v>0.125</v>
      </c>
      <c r="AN6" s="123"/>
      <c r="AO6" s="123">
        <v>3.125E-2</v>
      </c>
      <c r="AP6" s="21">
        <f>AN4</f>
        <v>0</v>
      </c>
    </row>
    <row r="7" spans="1:42" x14ac:dyDescent="0.3">
      <c r="A7" s="129"/>
      <c r="D7" s="125">
        <v>0.16666666666666699</v>
      </c>
      <c r="F7" s="123">
        <v>4.1666666666666664E-2</v>
      </c>
      <c r="G7" s="21">
        <f>E4</f>
        <v>0</v>
      </c>
      <c r="H7" s="22"/>
      <c r="I7" s="125">
        <v>0.16666666666666699</v>
      </c>
      <c r="K7" s="123">
        <v>4.1666666666666664E-2</v>
      </c>
      <c r="L7" s="21">
        <f>J4</f>
        <v>0</v>
      </c>
      <c r="M7" s="22"/>
      <c r="N7" s="125">
        <v>0.16666666666666699</v>
      </c>
      <c r="O7">
        <v>0</v>
      </c>
      <c r="P7" s="123">
        <v>4.1666666666666664E-2</v>
      </c>
      <c r="Q7" s="21">
        <f>O4</f>
        <v>0</v>
      </c>
      <c r="R7" s="22"/>
      <c r="S7" s="125">
        <v>0.16666666666666699</v>
      </c>
      <c r="U7" s="123">
        <v>4.1666666666666664E-2</v>
      </c>
      <c r="V7" s="21">
        <f>T4</f>
        <v>0</v>
      </c>
      <c r="W7" s="22"/>
      <c r="X7" s="125">
        <v>0.16666666666666699</v>
      </c>
      <c r="Y7" s="208">
        <v>0</v>
      </c>
      <c r="Z7" s="123">
        <v>4.1666666666666664E-2</v>
      </c>
      <c r="AA7" s="21">
        <f>Y4</f>
        <v>0</v>
      </c>
      <c r="AB7" s="22"/>
      <c r="AC7" s="125">
        <v>0.16666666666666699</v>
      </c>
      <c r="AD7" s="214">
        <v>0</v>
      </c>
      <c r="AE7" s="123">
        <v>4.1666666666666664E-2</v>
      </c>
      <c r="AF7" s="21">
        <f>AD4</f>
        <v>0</v>
      </c>
      <c r="AH7" s="125">
        <v>0.16666666666666699</v>
      </c>
      <c r="AJ7" s="123">
        <v>4.1666666666666664E-2</v>
      </c>
      <c r="AK7" s="21">
        <f>AI4</f>
        <v>0</v>
      </c>
      <c r="AM7" s="125">
        <v>0.16666666666666699</v>
      </c>
      <c r="AN7" s="123"/>
      <c r="AO7" s="123">
        <v>4.1666666666666664E-2</v>
      </c>
      <c r="AP7" s="21">
        <f>AN4</f>
        <v>0</v>
      </c>
    </row>
    <row r="8" spans="1:42" x14ac:dyDescent="0.3">
      <c r="A8" s="185" t="s">
        <v>226</v>
      </c>
      <c r="B8" s="135" t="s">
        <v>221</v>
      </c>
      <c r="D8" s="125">
        <v>0.20833333333333401</v>
      </c>
      <c r="F8" s="123">
        <v>5.2083333333333336E-2</v>
      </c>
      <c r="G8" s="21">
        <f>E5</f>
        <v>0</v>
      </c>
      <c r="H8" s="22"/>
      <c r="I8" s="125">
        <v>0.20833333333333401</v>
      </c>
      <c r="K8" s="123">
        <v>5.2083333333333336E-2</v>
      </c>
      <c r="L8" s="21">
        <f>J5</f>
        <v>0</v>
      </c>
      <c r="M8" s="22"/>
      <c r="N8" s="125">
        <v>0.20833333333333401</v>
      </c>
      <c r="O8">
        <v>0</v>
      </c>
      <c r="P8" s="123">
        <v>5.2083333333333336E-2</v>
      </c>
      <c r="Q8" s="21">
        <f>O5</f>
        <v>0</v>
      </c>
      <c r="R8" s="22"/>
      <c r="S8" s="125">
        <v>0.20833333333333401</v>
      </c>
      <c r="U8" s="123">
        <v>5.2083333333333336E-2</v>
      </c>
      <c r="V8" s="21">
        <f>T5</f>
        <v>0</v>
      </c>
      <c r="W8" s="22"/>
      <c r="X8" s="125">
        <v>0.20833333333333401</v>
      </c>
      <c r="Y8" s="208">
        <v>0</v>
      </c>
      <c r="Z8" s="123">
        <v>5.2083333333333336E-2</v>
      </c>
      <c r="AA8" s="21">
        <f>Y5</f>
        <v>0</v>
      </c>
      <c r="AB8" s="22"/>
      <c r="AC8" s="125">
        <v>0.20833333333333401</v>
      </c>
      <c r="AD8" s="214">
        <v>0</v>
      </c>
      <c r="AE8" s="123">
        <v>5.2083333333333336E-2</v>
      </c>
      <c r="AF8" s="21">
        <f>AD5</f>
        <v>0</v>
      </c>
      <c r="AH8" s="125">
        <v>0.20833333333333401</v>
      </c>
      <c r="AJ8" s="123">
        <v>5.2083333333333336E-2</v>
      </c>
      <c r="AK8" s="21">
        <f>AI5</f>
        <v>0</v>
      </c>
      <c r="AM8" s="125">
        <v>0.20833333333333401</v>
      </c>
      <c r="AN8" s="123"/>
      <c r="AO8" s="123">
        <v>5.2083333333333336E-2</v>
      </c>
      <c r="AP8" s="21">
        <f>AN5</f>
        <v>0</v>
      </c>
    </row>
    <row r="9" spans="1:42" x14ac:dyDescent="0.3">
      <c r="A9" s="123">
        <v>1.0416666666666666E-2</v>
      </c>
      <c r="B9" s="133">
        <f>IF($B$6&gt;0,IF($B$3=$D$2,G4*$B$6,IF($B$3=$I$2,L4*$B$6,IF($B$3=$N$2,Q4*$B$6,IF($B$3=$S$2,V4*$B$6,IF($B$3=$X$2,AA4*$B$6,IF($B$3=$AC$2,AF4*$B$6,IF($B$3=$AH$2,AK4*$B$6,IF($B$3=$AM$2,AP4*$B$6,0)))))))),0)</f>
        <v>0</v>
      </c>
      <c r="D9" s="125">
        <v>0.25</v>
      </c>
      <c r="F9" s="123">
        <v>6.25E-2</v>
      </c>
      <c r="G9" s="21">
        <f>E5</f>
        <v>0</v>
      </c>
      <c r="H9" s="22"/>
      <c r="I9" s="125">
        <v>0.25</v>
      </c>
      <c r="K9" s="123">
        <v>6.25E-2</v>
      </c>
      <c r="L9" s="21">
        <f>J5</f>
        <v>0</v>
      </c>
      <c r="M9" s="22"/>
      <c r="N9" s="125">
        <v>0.25</v>
      </c>
      <c r="O9">
        <v>0</v>
      </c>
      <c r="P9" s="123">
        <v>6.25E-2</v>
      </c>
      <c r="Q9" s="21">
        <f>O5</f>
        <v>0</v>
      </c>
      <c r="R9" s="22"/>
      <c r="S9" s="125">
        <v>0.25</v>
      </c>
      <c r="U9" s="123">
        <v>6.25E-2</v>
      </c>
      <c r="V9" s="21">
        <f>T5</f>
        <v>0</v>
      </c>
      <c r="W9" s="22"/>
      <c r="X9" s="125">
        <v>0.25</v>
      </c>
      <c r="Y9" s="208">
        <v>0</v>
      </c>
      <c r="Z9" s="123">
        <v>6.25E-2</v>
      </c>
      <c r="AA9" s="21">
        <f>Y5</f>
        <v>0</v>
      </c>
      <c r="AB9" s="22"/>
      <c r="AC9" s="125">
        <v>0.25</v>
      </c>
      <c r="AD9" s="214">
        <v>0</v>
      </c>
      <c r="AE9" s="123">
        <v>6.25E-2</v>
      </c>
      <c r="AF9" s="21">
        <f>AD5</f>
        <v>0</v>
      </c>
      <c r="AH9" s="125">
        <v>0.25</v>
      </c>
      <c r="AJ9" s="123">
        <v>6.25E-2</v>
      </c>
      <c r="AK9" s="21">
        <f>AI5</f>
        <v>0</v>
      </c>
      <c r="AM9" s="125">
        <v>0.25</v>
      </c>
      <c r="AN9" s="123"/>
      <c r="AO9" s="123">
        <v>6.25E-2</v>
      </c>
      <c r="AP9" s="21">
        <f>AN5</f>
        <v>0</v>
      </c>
    </row>
    <row r="10" spans="1:42" x14ac:dyDescent="0.3">
      <c r="A10" s="123">
        <v>2.0833333333333332E-2</v>
      </c>
      <c r="B10" s="133">
        <f t="shared" ref="B10:B73" si="0">IF($B$6&gt;0,IF($B$3=$D$2,G5*$B$6,IF($B$3=$I$2,L5*$B$6,IF($B$3=$N$2,Q5*$B$6,IF($B$3=$S$2,V5*$B$6,IF($B$3=$X$2,AA5*$B$6,IF($B$3=$AC$2,AF5*$B$6,IF($B$3=$AH$2,AK5*$B$6,IF($B$3=$AM$2,AP5*$B$6,0)))))))),0)</f>
        <v>0</v>
      </c>
      <c r="D10" s="125">
        <v>0.29166666666666702</v>
      </c>
      <c r="F10" s="123">
        <v>7.2916666666666671E-2</v>
      </c>
      <c r="G10" s="21">
        <f>E5</f>
        <v>0</v>
      </c>
      <c r="H10" s="22"/>
      <c r="I10" s="125">
        <v>0.29166666666666702</v>
      </c>
      <c r="K10" s="123">
        <v>7.2916666666666671E-2</v>
      </c>
      <c r="L10" s="21">
        <f>J5</f>
        <v>0</v>
      </c>
      <c r="M10" s="22"/>
      <c r="N10" s="125">
        <v>0.29166666666666702</v>
      </c>
      <c r="O10">
        <v>26.060199999999998</v>
      </c>
      <c r="P10" s="123">
        <v>7.2916666666666671E-2</v>
      </c>
      <c r="Q10" s="21">
        <f>O5</f>
        <v>0</v>
      </c>
      <c r="R10" s="22"/>
      <c r="S10" s="125">
        <v>0.29166666666666702</v>
      </c>
      <c r="U10" s="123">
        <v>7.2916666666666671E-2</v>
      </c>
      <c r="V10" s="21">
        <f>T5</f>
        <v>0</v>
      </c>
      <c r="W10" s="22"/>
      <c r="X10" s="125">
        <v>0.29166666666666702</v>
      </c>
      <c r="Y10" s="208">
        <v>0</v>
      </c>
      <c r="Z10" s="123">
        <v>7.2916666666666671E-2</v>
      </c>
      <c r="AA10" s="21">
        <f>Y5</f>
        <v>0</v>
      </c>
      <c r="AB10" s="22"/>
      <c r="AC10" s="125">
        <v>0.29166666666666702</v>
      </c>
      <c r="AD10" s="214">
        <v>23.501999999999999</v>
      </c>
      <c r="AE10" s="123">
        <v>7.2916666666666671E-2</v>
      </c>
      <c r="AF10" s="21">
        <f>AD5</f>
        <v>0</v>
      </c>
      <c r="AH10" s="125">
        <v>0.29166666666666702</v>
      </c>
      <c r="AJ10" s="123">
        <v>7.2916666666666671E-2</v>
      </c>
      <c r="AK10" s="21">
        <f>AI5</f>
        <v>0</v>
      </c>
      <c r="AM10" s="125">
        <v>0.29166666666666702</v>
      </c>
      <c r="AN10" s="123"/>
      <c r="AO10" s="123">
        <v>7.2916666666666671E-2</v>
      </c>
      <c r="AP10" s="21">
        <f>AN5</f>
        <v>0</v>
      </c>
    </row>
    <row r="11" spans="1:42" x14ac:dyDescent="0.3">
      <c r="A11" s="123">
        <v>3.125E-2</v>
      </c>
      <c r="B11" s="133">
        <f t="shared" si="0"/>
        <v>0</v>
      </c>
      <c r="D11" s="125">
        <v>0.33333333333333398</v>
      </c>
      <c r="F11" s="123">
        <v>8.3333333333333329E-2</v>
      </c>
      <c r="G11" s="21">
        <f>E5</f>
        <v>0</v>
      </c>
      <c r="H11" s="22"/>
      <c r="I11" s="125">
        <v>0.33333333333333398</v>
      </c>
      <c r="K11" s="123">
        <v>8.3333333333333329E-2</v>
      </c>
      <c r="L11" s="21">
        <f>J5</f>
        <v>0</v>
      </c>
      <c r="M11" s="22"/>
      <c r="N11" s="125">
        <v>0.33333333333333398</v>
      </c>
      <c r="O11">
        <v>109.22199999999999</v>
      </c>
      <c r="P11" s="123">
        <v>8.3333333333333329E-2</v>
      </c>
      <c r="Q11" s="21">
        <f>O5</f>
        <v>0</v>
      </c>
      <c r="R11" s="22"/>
      <c r="S11" s="125">
        <v>0.33333333333333398</v>
      </c>
      <c r="U11" s="123">
        <v>8.3333333333333329E-2</v>
      </c>
      <c r="V11" s="21">
        <f>T5</f>
        <v>0</v>
      </c>
      <c r="W11" s="22"/>
      <c r="X11" s="125">
        <v>0.33333333333333398</v>
      </c>
      <c r="Y11" s="208">
        <v>0</v>
      </c>
      <c r="Z11" s="123">
        <v>8.3333333333333329E-2</v>
      </c>
      <c r="AA11" s="21">
        <f>Y5</f>
        <v>0</v>
      </c>
      <c r="AB11" s="22"/>
      <c r="AC11" s="125">
        <v>0.33333333333333398</v>
      </c>
      <c r="AD11" s="214">
        <v>109.069</v>
      </c>
      <c r="AE11" s="123">
        <v>8.3333333333333329E-2</v>
      </c>
      <c r="AF11" s="21">
        <f>AD5</f>
        <v>0</v>
      </c>
      <c r="AH11" s="125">
        <v>0.33333333333333398</v>
      </c>
      <c r="AJ11" s="123">
        <v>8.3333333333333329E-2</v>
      </c>
      <c r="AK11" s="21">
        <f>AI5</f>
        <v>0</v>
      </c>
      <c r="AM11" s="125">
        <v>0.33333333333333398</v>
      </c>
      <c r="AN11" s="123"/>
      <c r="AO11" s="123">
        <v>8.3333333333333329E-2</v>
      </c>
      <c r="AP11" s="21">
        <f>AN5</f>
        <v>0</v>
      </c>
    </row>
    <row r="12" spans="1:42" x14ac:dyDescent="0.3">
      <c r="A12" s="123">
        <v>4.1666666666666664E-2</v>
      </c>
      <c r="B12" s="133">
        <f t="shared" si="0"/>
        <v>0</v>
      </c>
      <c r="D12" s="125">
        <v>0.375</v>
      </c>
      <c r="F12" s="123">
        <v>9.375E-2</v>
      </c>
      <c r="G12" s="21">
        <f>E6</f>
        <v>0</v>
      </c>
      <c r="H12" s="22"/>
      <c r="I12" s="125">
        <v>0.375</v>
      </c>
      <c r="K12" s="123">
        <v>9.375E-2</v>
      </c>
      <c r="L12" s="21">
        <f>J6</f>
        <v>0</v>
      </c>
      <c r="M12" s="22"/>
      <c r="N12" s="125">
        <v>0.375</v>
      </c>
      <c r="O12">
        <v>289.24400000000003</v>
      </c>
      <c r="P12" s="123">
        <v>9.375E-2</v>
      </c>
      <c r="Q12" s="21">
        <f>O6</f>
        <v>0</v>
      </c>
      <c r="R12" s="22"/>
      <c r="S12" s="125">
        <v>0.375</v>
      </c>
      <c r="U12" s="123">
        <v>9.375E-2</v>
      </c>
      <c r="V12" s="21">
        <f>T6</f>
        <v>0</v>
      </c>
      <c r="W12" s="22"/>
      <c r="X12" s="125">
        <v>0.375</v>
      </c>
      <c r="Y12" s="208">
        <v>146.77099999999999</v>
      </c>
      <c r="Z12" s="123">
        <v>9.375E-2</v>
      </c>
      <c r="AA12" s="21">
        <f>Y6</f>
        <v>0</v>
      </c>
      <c r="AB12" s="22"/>
      <c r="AC12" s="125">
        <v>0.375</v>
      </c>
      <c r="AD12" s="214">
        <v>289.93900000000002</v>
      </c>
      <c r="AE12" s="123">
        <v>9.375E-2</v>
      </c>
      <c r="AF12" s="21">
        <f>AD6</f>
        <v>0</v>
      </c>
      <c r="AH12" s="125">
        <v>0.375</v>
      </c>
      <c r="AJ12" s="123">
        <v>9.375E-2</v>
      </c>
      <c r="AK12" s="21">
        <f>AI6</f>
        <v>0</v>
      </c>
      <c r="AM12" s="125">
        <v>0.375</v>
      </c>
      <c r="AN12" s="123"/>
      <c r="AO12" s="123">
        <v>9.375E-2</v>
      </c>
      <c r="AP12" s="21">
        <f>AN6</f>
        <v>0</v>
      </c>
    </row>
    <row r="13" spans="1:42" x14ac:dyDescent="0.3">
      <c r="A13" s="123">
        <v>5.2083333333333336E-2</v>
      </c>
      <c r="B13" s="133">
        <f t="shared" si="0"/>
        <v>0</v>
      </c>
      <c r="D13" s="125">
        <v>0.41666666666666702</v>
      </c>
      <c r="F13" s="123">
        <v>0.10416666666666667</v>
      </c>
      <c r="G13" s="21">
        <f>E6</f>
        <v>0</v>
      </c>
      <c r="H13" s="22"/>
      <c r="I13" s="125">
        <v>0.41666666666666702</v>
      </c>
      <c r="K13" s="123">
        <v>0.10416666666666667</v>
      </c>
      <c r="L13" s="21">
        <f>J6</f>
        <v>0</v>
      </c>
      <c r="M13" s="22"/>
      <c r="N13" s="125">
        <v>0.41666666666666702</v>
      </c>
      <c r="O13">
        <v>391.15800000000002</v>
      </c>
      <c r="P13" s="123">
        <v>0.10416666666666667</v>
      </c>
      <c r="Q13" s="21">
        <f>O6</f>
        <v>0</v>
      </c>
      <c r="R13" s="22"/>
      <c r="S13" s="125">
        <v>0.41666666666666702</v>
      </c>
      <c r="U13" s="123">
        <v>0.10416666666666667</v>
      </c>
      <c r="V13" s="21">
        <f>T6</f>
        <v>0</v>
      </c>
      <c r="W13" s="22"/>
      <c r="X13" s="125">
        <v>0.41666666666666702</v>
      </c>
      <c r="Y13" s="208">
        <v>406.59</v>
      </c>
      <c r="Z13" s="123">
        <v>0.10416666666666667</v>
      </c>
      <c r="AA13" s="21">
        <f>Y6</f>
        <v>0</v>
      </c>
      <c r="AB13" s="22"/>
      <c r="AC13" s="125">
        <v>0.41666666666666702</v>
      </c>
      <c r="AD13" s="214">
        <v>462.036</v>
      </c>
      <c r="AE13" s="123">
        <v>0.10416666666666667</v>
      </c>
      <c r="AF13" s="21">
        <f>AD6</f>
        <v>0</v>
      </c>
      <c r="AH13" s="125">
        <v>0.41666666666666702</v>
      </c>
      <c r="AJ13" s="123">
        <v>0.10416666666666667</v>
      </c>
      <c r="AK13" s="21">
        <f>AI6</f>
        <v>0</v>
      </c>
      <c r="AM13" s="125">
        <v>0.41666666666666702</v>
      </c>
      <c r="AN13" s="123"/>
      <c r="AO13" s="123">
        <v>0.10416666666666667</v>
      </c>
      <c r="AP13" s="21">
        <f>AN6</f>
        <v>0</v>
      </c>
    </row>
    <row r="14" spans="1:42" x14ac:dyDescent="0.3">
      <c r="A14" s="123">
        <v>6.25E-2</v>
      </c>
      <c r="B14" s="133">
        <f t="shared" si="0"/>
        <v>0</v>
      </c>
      <c r="D14" s="125">
        <v>0.45833333333333398</v>
      </c>
      <c r="F14" s="123">
        <v>0.11458333333333333</v>
      </c>
      <c r="G14" s="21">
        <f>E6</f>
        <v>0</v>
      </c>
      <c r="H14" s="22"/>
      <c r="I14" s="125">
        <v>0.45833333333333398</v>
      </c>
      <c r="K14" s="123">
        <v>0.11458333333333333</v>
      </c>
      <c r="L14" s="21">
        <f>J6</f>
        <v>0</v>
      </c>
      <c r="M14" s="22"/>
      <c r="N14" s="125">
        <v>0.45833333333333398</v>
      </c>
      <c r="O14">
        <v>509.70300000000003</v>
      </c>
      <c r="P14" s="123">
        <v>0.11458333333333333</v>
      </c>
      <c r="Q14" s="21">
        <f>O6</f>
        <v>0</v>
      </c>
      <c r="R14" s="22"/>
      <c r="S14" s="125">
        <v>0.45833333333333398</v>
      </c>
      <c r="U14" s="123">
        <v>0.11458333333333333</v>
      </c>
      <c r="V14" s="21">
        <f>T6</f>
        <v>0</v>
      </c>
      <c r="W14" s="22"/>
      <c r="X14" s="125">
        <v>0.45833333333333398</v>
      </c>
      <c r="Y14" s="208">
        <v>585.74400000000003</v>
      </c>
      <c r="Z14" s="123">
        <v>0.11458333333333333</v>
      </c>
      <c r="AA14" s="21">
        <f>Y6</f>
        <v>0</v>
      </c>
      <c r="AB14" s="22"/>
      <c r="AC14" s="125">
        <v>0.45833333333333398</v>
      </c>
      <c r="AD14" s="214">
        <v>590.22500000000002</v>
      </c>
      <c r="AE14" s="123">
        <v>0.11458333333333333</v>
      </c>
      <c r="AF14" s="21">
        <f>AD6</f>
        <v>0</v>
      </c>
      <c r="AH14" s="125">
        <v>0.45833333333333398</v>
      </c>
      <c r="AJ14" s="123">
        <v>0.11458333333333333</v>
      </c>
      <c r="AK14" s="21">
        <f>AI6</f>
        <v>0</v>
      </c>
      <c r="AM14" s="125">
        <v>0.45833333333333398</v>
      </c>
      <c r="AN14" s="123"/>
      <c r="AO14" s="123">
        <v>0.11458333333333333</v>
      </c>
      <c r="AP14" s="21">
        <f>AN6</f>
        <v>0</v>
      </c>
    </row>
    <row r="15" spans="1:42" x14ac:dyDescent="0.3">
      <c r="A15" s="123">
        <v>7.2916666666666671E-2</v>
      </c>
      <c r="B15" s="133">
        <f t="shared" si="0"/>
        <v>0</v>
      </c>
      <c r="D15" s="125">
        <v>0.5</v>
      </c>
      <c r="F15" s="123">
        <v>0.125</v>
      </c>
      <c r="G15" s="21">
        <f>E6</f>
        <v>0</v>
      </c>
      <c r="H15" s="22"/>
      <c r="I15" s="125">
        <v>0.5</v>
      </c>
      <c r="K15" s="123">
        <v>0.125</v>
      </c>
      <c r="L15" s="21">
        <f>J6</f>
        <v>0</v>
      </c>
      <c r="M15" s="22"/>
      <c r="N15" s="125">
        <v>0.5</v>
      </c>
      <c r="O15">
        <v>595.25099999999998</v>
      </c>
      <c r="P15" s="123">
        <v>0.125</v>
      </c>
      <c r="Q15" s="21">
        <f>O6</f>
        <v>0</v>
      </c>
      <c r="R15" s="22"/>
      <c r="S15" s="125">
        <v>0.5</v>
      </c>
      <c r="U15" s="123">
        <v>0.125</v>
      </c>
      <c r="V15" s="21">
        <f>T6</f>
        <v>0</v>
      </c>
      <c r="W15" s="22"/>
      <c r="X15" s="125">
        <v>0.5</v>
      </c>
      <c r="Y15" s="208">
        <v>687.14</v>
      </c>
      <c r="Z15" s="123">
        <v>0.125</v>
      </c>
      <c r="AA15" s="21">
        <f>Y6</f>
        <v>0</v>
      </c>
      <c r="AB15" s="22"/>
      <c r="AC15" s="125">
        <v>0.5</v>
      </c>
      <c r="AD15" s="214">
        <v>596.80999999999995</v>
      </c>
      <c r="AE15" s="123">
        <v>0.125</v>
      </c>
      <c r="AF15" s="21">
        <f>AD6</f>
        <v>0</v>
      </c>
      <c r="AH15" s="125">
        <v>0.5</v>
      </c>
      <c r="AJ15" s="123">
        <v>0.125</v>
      </c>
      <c r="AK15" s="21">
        <f>AI6</f>
        <v>0</v>
      </c>
      <c r="AM15" s="125">
        <v>0.5</v>
      </c>
      <c r="AN15" s="123"/>
      <c r="AO15" s="123">
        <v>0.125</v>
      </c>
      <c r="AP15" s="21">
        <f>AN6</f>
        <v>0</v>
      </c>
    </row>
    <row r="16" spans="1:42" x14ac:dyDescent="0.3">
      <c r="A16" s="123">
        <v>8.3333333333333329E-2</v>
      </c>
      <c r="B16" s="133">
        <f t="shared" si="0"/>
        <v>0</v>
      </c>
      <c r="D16" s="125">
        <v>0.54166666666666696</v>
      </c>
      <c r="F16" s="123">
        <v>0.13541666666666666</v>
      </c>
      <c r="G16" s="21">
        <f>E7</f>
        <v>0</v>
      </c>
      <c r="H16" s="22"/>
      <c r="I16" s="125">
        <v>0.54166666666666696</v>
      </c>
      <c r="K16" s="123">
        <v>0.13541666666666666</v>
      </c>
      <c r="L16" s="21">
        <f>J7</f>
        <v>0</v>
      </c>
      <c r="M16" s="22"/>
      <c r="N16" s="125">
        <v>0.54166666666666696</v>
      </c>
      <c r="O16">
        <v>596.88200000000006</v>
      </c>
      <c r="P16" s="123">
        <v>0.13541666666666666</v>
      </c>
      <c r="Q16" s="21">
        <f>O7</f>
        <v>0</v>
      </c>
      <c r="R16" s="22"/>
      <c r="S16" s="125">
        <v>0.54166666666666696</v>
      </c>
      <c r="U16" s="123">
        <v>0.13541666666666666</v>
      </c>
      <c r="V16" s="21">
        <f>T7</f>
        <v>0</v>
      </c>
      <c r="W16" s="22"/>
      <c r="X16" s="125">
        <v>0.54166666666666696</v>
      </c>
      <c r="Y16" s="208">
        <v>739.61300000000006</v>
      </c>
      <c r="Z16" s="123">
        <v>0.13541666666666666</v>
      </c>
      <c r="AA16" s="21">
        <f>Y7</f>
        <v>0</v>
      </c>
      <c r="AB16" s="22"/>
      <c r="AC16" s="125">
        <v>0.54166666666666696</v>
      </c>
      <c r="AD16" s="214">
        <v>707.81899999999996</v>
      </c>
      <c r="AE16" s="123">
        <v>0.13541666666666666</v>
      </c>
      <c r="AF16" s="21">
        <f>AD7</f>
        <v>0</v>
      </c>
      <c r="AH16" s="125">
        <v>0.54166666666666696</v>
      </c>
      <c r="AJ16" s="123">
        <v>0.13541666666666666</v>
      </c>
      <c r="AK16" s="21">
        <f>AI7</f>
        <v>0</v>
      </c>
      <c r="AM16" s="125">
        <v>0.54166666666666696</v>
      </c>
      <c r="AN16" s="123"/>
      <c r="AO16" s="123">
        <v>0.13541666666666666</v>
      </c>
      <c r="AP16" s="21">
        <f>AN7</f>
        <v>0</v>
      </c>
    </row>
    <row r="17" spans="1:42" x14ac:dyDescent="0.3">
      <c r="A17" s="123">
        <v>9.375E-2</v>
      </c>
      <c r="B17" s="133">
        <f t="shared" si="0"/>
        <v>0</v>
      </c>
      <c r="D17" s="125">
        <v>0.58333333333333404</v>
      </c>
      <c r="F17" s="123">
        <v>0.14583333333333334</v>
      </c>
      <c r="G17" s="21">
        <f>E7</f>
        <v>0</v>
      </c>
      <c r="H17" s="22"/>
      <c r="I17" s="125">
        <v>0.58333333333333404</v>
      </c>
      <c r="K17" s="123">
        <v>0.14583333333333334</v>
      </c>
      <c r="L17" s="21">
        <f>J7</f>
        <v>0</v>
      </c>
      <c r="M17" s="22"/>
      <c r="N17" s="125">
        <v>0.58333333333333404</v>
      </c>
      <c r="O17">
        <v>679.149</v>
      </c>
      <c r="P17" s="123">
        <v>0.14583333333333334</v>
      </c>
      <c r="Q17" s="21">
        <f>O7</f>
        <v>0</v>
      </c>
      <c r="R17" s="22"/>
      <c r="S17" s="125">
        <v>0.58333333333333404</v>
      </c>
      <c r="U17" s="123">
        <v>0.14583333333333334</v>
      </c>
      <c r="V17" s="21">
        <f>T7</f>
        <v>0</v>
      </c>
      <c r="W17" s="22"/>
      <c r="X17" s="125">
        <v>0.58333333333333404</v>
      </c>
      <c r="Y17" s="208">
        <v>745.57100000000003</v>
      </c>
      <c r="Z17" s="123">
        <v>0.14583333333333334</v>
      </c>
      <c r="AA17" s="21">
        <f>Y7</f>
        <v>0</v>
      </c>
      <c r="AB17" s="22"/>
      <c r="AC17" s="125">
        <v>0.58333333333333404</v>
      </c>
      <c r="AD17" s="214">
        <v>695.18200000000002</v>
      </c>
      <c r="AE17" s="123">
        <v>0.14583333333333334</v>
      </c>
      <c r="AF17" s="21">
        <f>AD7</f>
        <v>0</v>
      </c>
      <c r="AH17" s="125">
        <v>0.58333333333333404</v>
      </c>
      <c r="AJ17" s="123">
        <v>0.14583333333333334</v>
      </c>
      <c r="AK17" s="21">
        <f>AI7</f>
        <v>0</v>
      </c>
      <c r="AM17" s="125">
        <v>0.58333333333333404</v>
      </c>
      <c r="AN17" s="123"/>
      <c r="AO17" s="123">
        <v>0.14583333333333334</v>
      </c>
      <c r="AP17" s="21">
        <f>AN7</f>
        <v>0</v>
      </c>
    </row>
    <row r="18" spans="1:42" x14ac:dyDescent="0.3">
      <c r="A18" s="123">
        <v>0.10416666666666667</v>
      </c>
      <c r="B18" s="133">
        <f t="shared" si="0"/>
        <v>0</v>
      </c>
      <c r="D18" s="125">
        <v>0.625</v>
      </c>
      <c r="F18" s="123">
        <v>0.15625</v>
      </c>
      <c r="G18" s="21">
        <f>E7</f>
        <v>0</v>
      </c>
      <c r="H18" s="22"/>
      <c r="I18" s="125">
        <v>0.625</v>
      </c>
      <c r="K18" s="123">
        <v>0.15625</v>
      </c>
      <c r="L18" s="21">
        <f>J7</f>
        <v>0</v>
      </c>
      <c r="M18" s="22"/>
      <c r="N18" s="125">
        <v>0.625</v>
      </c>
      <c r="O18">
        <v>656.44200000000001</v>
      </c>
      <c r="P18" s="123">
        <v>0.15625</v>
      </c>
      <c r="Q18" s="21">
        <f>O7</f>
        <v>0</v>
      </c>
      <c r="R18" s="22"/>
      <c r="S18" s="125">
        <v>0.625</v>
      </c>
      <c r="U18" s="123">
        <v>0.15625</v>
      </c>
      <c r="V18" s="21">
        <f>T7</f>
        <v>0</v>
      </c>
      <c r="W18" s="22"/>
      <c r="X18" s="125">
        <v>0.625</v>
      </c>
      <c r="Y18" s="208">
        <v>677.41399999999999</v>
      </c>
      <c r="Z18" s="123">
        <v>0.15625</v>
      </c>
      <c r="AA18" s="21">
        <f>Y7</f>
        <v>0</v>
      </c>
      <c r="AB18" s="22"/>
      <c r="AC18" s="125">
        <v>0.625</v>
      </c>
      <c r="AD18" s="214">
        <v>646.83699999999999</v>
      </c>
      <c r="AE18" s="123">
        <v>0.15625</v>
      </c>
      <c r="AF18" s="21">
        <f>AD7</f>
        <v>0</v>
      </c>
      <c r="AH18" s="125">
        <v>0.625</v>
      </c>
      <c r="AJ18" s="123">
        <v>0.15625</v>
      </c>
      <c r="AK18" s="21">
        <f>AI7</f>
        <v>0</v>
      </c>
      <c r="AM18" s="125">
        <v>0.625</v>
      </c>
      <c r="AN18" s="123"/>
      <c r="AO18" s="123">
        <v>0.15625</v>
      </c>
      <c r="AP18" s="21">
        <f>AN7</f>
        <v>0</v>
      </c>
    </row>
    <row r="19" spans="1:42" x14ac:dyDescent="0.3">
      <c r="A19" s="123">
        <v>0.11458333333333333</v>
      </c>
      <c r="B19" s="133">
        <f t="shared" si="0"/>
        <v>0</v>
      </c>
      <c r="D19" s="125">
        <v>0.66666666666666696</v>
      </c>
      <c r="F19" s="123">
        <v>0.16666666666666666</v>
      </c>
      <c r="G19" s="21">
        <f>E7</f>
        <v>0</v>
      </c>
      <c r="H19" s="22"/>
      <c r="I19" s="125">
        <v>0.66666666666666696</v>
      </c>
      <c r="K19" s="123">
        <v>0.16666666666666666</v>
      </c>
      <c r="L19" s="21">
        <f>J7</f>
        <v>0</v>
      </c>
      <c r="M19" s="22"/>
      <c r="N19" s="125">
        <v>0.66666666666666696</v>
      </c>
      <c r="O19">
        <v>554.33500000000004</v>
      </c>
      <c r="P19" s="123">
        <v>0.16666666666666666</v>
      </c>
      <c r="Q19" s="21">
        <f>O7</f>
        <v>0</v>
      </c>
      <c r="R19" s="22"/>
      <c r="S19" s="125">
        <v>0.66666666666666696</v>
      </c>
      <c r="U19" s="123">
        <v>0.16666666666666666</v>
      </c>
      <c r="V19" s="21">
        <f>T7</f>
        <v>0</v>
      </c>
      <c r="W19" s="22"/>
      <c r="X19" s="125">
        <v>0.66666666666666696</v>
      </c>
      <c r="Y19" s="208">
        <v>552.79999999999995</v>
      </c>
      <c r="Z19" s="123">
        <v>0.16666666666666666</v>
      </c>
      <c r="AA19" s="21">
        <f>Y7</f>
        <v>0</v>
      </c>
      <c r="AB19" s="22"/>
      <c r="AC19" s="125">
        <v>0.66666666666666696</v>
      </c>
      <c r="AD19" s="214">
        <v>561.43499999999995</v>
      </c>
      <c r="AE19" s="123">
        <v>0.16666666666666666</v>
      </c>
      <c r="AF19" s="21">
        <f>AD7</f>
        <v>0</v>
      </c>
      <c r="AH19" s="125">
        <v>0.66666666666666696</v>
      </c>
      <c r="AJ19" s="123">
        <v>0.16666666666666666</v>
      </c>
      <c r="AK19" s="21">
        <f>AI7</f>
        <v>0</v>
      </c>
      <c r="AM19" s="125">
        <v>0.66666666666666696</v>
      </c>
      <c r="AN19" s="123"/>
      <c r="AO19" s="123">
        <v>0.16666666666666666</v>
      </c>
      <c r="AP19" s="21">
        <f>AN7</f>
        <v>0</v>
      </c>
    </row>
    <row r="20" spans="1:42" x14ac:dyDescent="0.3">
      <c r="A20" s="123">
        <v>0.125</v>
      </c>
      <c r="B20" s="133">
        <f t="shared" si="0"/>
        <v>0</v>
      </c>
      <c r="D20" s="125">
        <v>0.70833333333333404</v>
      </c>
      <c r="F20" s="123">
        <v>0.17708333333333334</v>
      </c>
      <c r="G20" s="21">
        <f>E8</f>
        <v>0</v>
      </c>
      <c r="H20" s="22"/>
      <c r="I20" s="125">
        <v>0.70833333333333404</v>
      </c>
      <c r="K20" s="123">
        <v>0.17708333333333334</v>
      </c>
      <c r="L20" s="21">
        <f>J8</f>
        <v>0</v>
      </c>
      <c r="M20" s="22"/>
      <c r="N20" s="125">
        <v>0.70833333333333404</v>
      </c>
      <c r="O20">
        <v>426.64099999999996</v>
      </c>
      <c r="P20" s="123">
        <v>0.17708333333333334</v>
      </c>
      <c r="Q20" s="21">
        <f>O8</f>
        <v>0</v>
      </c>
      <c r="R20" s="22"/>
      <c r="S20" s="125">
        <v>0.70833333333333404</v>
      </c>
      <c r="U20" s="123">
        <v>0.17708333333333334</v>
      </c>
      <c r="V20" s="21">
        <f>T8</f>
        <v>0</v>
      </c>
      <c r="W20" s="22"/>
      <c r="X20" s="125">
        <v>0.70833333333333404</v>
      </c>
      <c r="Y20" s="208">
        <v>361.16300000000001</v>
      </c>
      <c r="Z20" s="123">
        <v>0.17708333333333334</v>
      </c>
      <c r="AA20" s="21">
        <f>Y8</f>
        <v>0</v>
      </c>
      <c r="AB20" s="22"/>
      <c r="AC20" s="125">
        <v>0.70833333333333404</v>
      </c>
      <c r="AD20" s="214">
        <v>428.23700000000002</v>
      </c>
      <c r="AE20" s="123">
        <v>0.17708333333333334</v>
      </c>
      <c r="AF20" s="21">
        <f>AD8</f>
        <v>0</v>
      </c>
      <c r="AH20" s="125">
        <v>0.70833333333333404</v>
      </c>
      <c r="AJ20" s="123">
        <v>0.17708333333333334</v>
      </c>
      <c r="AK20" s="21">
        <f>AI8</f>
        <v>0</v>
      </c>
      <c r="AM20" s="125">
        <v>0.70833333333333404</v>
      </c>
      <c r="AN20" s="123"/>
      <c r="AO20" s="123">
        <v>0.17708333333333334</v>
      </c>
      <c r="AP20" s="21">
        <f>AN8</f>
        <v>0</v>
      </c>
    </row>
    <row r="21" spans="1:42" x14ac:dyDescent="0.3">
      <c r="A21" s="123">
        <v>0.13541666666666666</v>
      </c>
      <c r="B21" s="133">
        <f t="shared" si="0"/>
        <v>0</v>
      </c>
      <c r="D21" s="125">
        <v>0.75</v>
      </c>
      <c r="F21" s="123">
        <v>0.1875</v>
      </c>
      <c r="G21" s="21">
        <f>E8</f>
        <v>0</v>
      </c>
      <c r="H21" s="22"/>
      <c r="I21" s="125">
        <v>0.75</v>
      </c>
      <c r="K21" s="123">
        <v>0.1875</v>
      </c>
      <c r="L21" s="21">
        <f>J8</f>
        <v>0</v>
      </c>
      <c r="M21" s="22"/>
      <c r="N21" s="125">
        <v>0.75</v>
      </c>
      <c r="O21">
        <v>265.29199999999997</v>
      </c>
      <c r="P21" s="123">
        <v>0.1875</v>
      </c>
      <c r="Q21" s="21">
        <f>O8</f>
        <v>0</v>
      </c>
      <c r="R21" s="22"/>
      <c r="S21" s="125">
        <v>0.75</v>
      </c>
      <c r="U21" s="123">
        <v>0.1875</v>
      </c>
      <c r="V21" s="21">
        <f>T8</f>
        <v>0</v>
      </c>
      <c r="W21" s="22"/>
      <c r="X21" s="125">
        <v>0.75</v>
      </c>
      <c r="Y21" s="208">
        <v>67.241399999999999</v>
      </c>
      <c r="Z21" s="123">
        <v>0.1875</v>
      </c>
      <c r="AA21" s="21">
        <f>Y8</f>
        <v>0</v>
      </c>
      <c r="AB21" s="22"/>
      <c r="AC21" s="125">
        <v>0.75</v>
      </c>
      <c r="AD21" s="214">
        <v>250.86799999999999</v>
      </c>
      <c r="AE21" s="123">
        <v>0.1875</v>
      </c>
      <c r="AF21" s="21">
        <f>AD8</f>
        <v>0</v>
      </c>
      <c r="AH21" s="125">
        <v>0.75</v>
      </c>
      <c r="AJ21" s="123">
        <v>0.1875</v>
      </c>
      <c r="AK21" s="21">
        <f>AI8</f>
        <v>0</v>
      </c>
      <c r="AM21" s="125">
        <v>0.75</v>
      </c>
      <c r="AN21" s="123"/>
      <c r="AO21" s="123">
        <v>0.1875</v>
      </c>
      <c r="AP21" s="21">
        <f>AN8</f>
        <v>0</v>
      </c>
    </row>
    <row r="22" spans="1:42" x14ac:dyDescent="0.3">
      <c r="A22" s="123">
        <v>0.14583333333333334</v>
      </c>
      <c r="B22" s="133">
        <f t="shared" si="0"/>
        <v>0</v>
      </c>
      <c r="D22" s="125">
        <v>0.79166666666666696</v>
      </c>
      <c r="F22" s="123">
        <v>0.19791666666666666</v>
      </c>
      <c r="G22" s="21">
        <f>E8</f>
        <v>0</v>
      </c>
      <c r="H22" s="22"/>
      <c r="I22" s="125">
        <v>0.79166666666666696</v>
      </c>
      <c r="K22" s="123">
        <v>0.19791666666666666</v>
      </c>
      <c r="L22" s="21">
        <f>J8</f>
        <v>0</v>
      </c>
      <c r="M22" s="22"/>
      <c r="N22" s="125">
        <v>0.79166666666666696</v>
      </c>
      <c r="O22">
        <v>84.266300000000001</v>
      </c>
      <c r="P22" s="123">
        <v>0.19791666666666666</v>
      </c>
      <c r="Q22" s="21">
        <f>O8</f>
        <v>0</v>
      </c>
      <c r="R22" s="22"/>
      <c r="S22" s="125">
        <v>0.79166666666666696</v>
      </c>
      <c r="U22" s="123">
        <v>0.19791666666666666</v>
      </c>
      <c r="V22" s="21">
        <f>T8</f>
        <v>0</v>
      </c>
      <c r="W22" s="22"/>
      <c r="X22" s="125">
        <v>0.79166666666666696</v>
      </c>
      <c r="Y22" s="208">
        <v>0</v>
      </c>
      <c r="Z22" s="123">
        <v>0.19791666666666666</v>
      </c>
      <c r="AA22" s="21">
        <f>Y8</f>
        <v>0</v>
      </c>
      <c r="AB22" s="22"/>
      <c r="AC22" s="125">
        <v>0.79166666666666696</v>
      </c>
      <c r="AD22" s="214">
        <v>71.501300000000001</v>
      </c>
      <c r="AE22" s="123">
        <v>0.19791666666666666</v>
      </c>
      <c r="AF22" s="21">
        <f>AD8</f>
        <v>0</v>
      </c>
      <c r="AH22" s="125">
        <v>0.79166666666666696</v>
      </c>
      <c r="AJ22" s="123">
        <v>0.19791666666666666</v>
      </c>
      <c r="AK22" s="21">
        <f>AI8</f>
        <v>0</v>
      </c>
      <c r="AM22" s="125">
        <v>0.79166666666666696</v>
      </c>
      <c r="AN22" s="123"/>
      <c r="AO22" s="123">
        <v>0.19791666666666666</v>
      </c>
      <c r="AP22" s="21">
        <f>AN8</f>
        <v>0</v>
      </c>
    </row>
    <row r="23" spans="1:42" x14ac:dyDescent="0.3">
      <c r="A23" s="123">
        <v>0.15625</v>
      </c>
      <c r="B23" s="133">
        <f t="shared" si="0"/>
        <v>0</v>
      </c>
      <c r="D23" s="125">
        <v>0.83333333333333404</v>
      </c>
      <c r="F23" s="123">
        <v>0.20833333333333334</v>
      </c>
      <c r="G23" s="21">
        <f>E8</f>
        <v>0</v>
      </c>
      <c r="H23" s="22"/>
      <c r="I23" s="125">
        <v>0.83333333333333404</v>
      </c>
      <c r="K23" s="123">
        <v>0.20833333333333334</v>
      </c>
      <c r="L23" s="21">
        <f>J8</f>
        <v>0</v>
      </c>
      <c r="M23" s="22"/>
      <c r="N23" s="125">
        <v>0.83333333333333404</v>
      </c>
      <c r="O23">
        <v>4.1248399999999998</v>
      </c>
      <c r="P23" s="123">
        <v>0.20833333333333334</v>
      </c>
      <c r="Q23" s="21">
        <f>O8</f>
        <v>0</v>
      </c>
      <c r="R23" s="22"/>
      <c r="S23" s="125">
        <v>0.83333333333333404</v>
      </c>
      <c r="U23" s="123">
        <v>0.20833333333333334</v>
      </c>
      <c r="V23" s="21">
        <f>T8</f>
        <v>0</v>
      </c>
      <c r="W23" s="22"/>
      <c r="X23" s="125">
        <v>0.83333333333333404</v>
      </c>
      <c r="Y23" s="208">
        <v>0</v>
      </c>
      <c r="Z23" s="123">
        <v>0.20833333333333334</v>
      </c>
      <c r="AA23" s="21">
        <f>Y8</f>
        <v>0</v>
      </c>
      <c r="AB23" s="22"/>
      <c r="AC23" s="125">
        <v>0.83333333333333404</v>
      </c>
      <c r="AD23" s="214">
        <v>1.78748</v>
      </c>
      <c r="AE23" s="123">
        <v>0.20833333333333334</v>
      </c>
      <c r="AF23" s="21">
        <f>AD8</f>
        <v>0</v>
      </c>
      <c r="AH23" s="125">
        <v>0.83333333333333404</v>
      </c>
      <c r="AJ23" s="123">
        <v>0.20833333333333334</v>
      </c>
      <c r="AK23" s="21">
        <f>AI8</f>
        <v>0</v>
      </c>
      <c r="AM23" s="125">
        <v>0.83333333333333404</v>
      </c>
      <c r="AN23" s="123"/>
      <c r="AO23" s="123">
        <v>0.20833333333333334</v>
      </c>
      <c r="AP23" s="21">
        <f>AN8</f>
        <v>0</v>
      </c>
    </row>
    <row r="24" spans="1:42" x14ac:dyDescent="0.3">
      <c r="A24" s="123">
        <v>0.16666666666666666</v>
      </c>
      <c r="B24" s="133">
        <f t="shared" si="0"/>
        <v>0</v>
      </c>
      <c r="D24" s="125">
        <v>0.875</v>
      </c>
      <c r="F24" s="123">
        <v>0.21875</v>
      </c>
      <c r="G24" s="21">
        <f>E9</f>
        <v>0</v>
      </c>
      <c r="H24" s="22"/>
      <c r="I24" s="125">
        <v>0.875</v>
      </c>
      <c r="K24" s="123">
        <v>0.21875</v>
      </c>
      <c r="L24" s="21">
        <f>J9</f>
        <v>0</v>
      </c>
      <c r="M24" s="22"/>
      <c r="N24" s="125">
        <v>0.875</v>
      </c>
      <c r="O24">
        <v>0</v>
      </c>
      <c r="P24" s="123">
        <v>0.21875</v>
      </c>
      <c r="Q24" s="21">
        <f>O9</f>
        <v>0</v>
      </c>
      <c r="R24" s="22"/>
      <c r="S24" s="125">
        <v>0.875</v>
      </c>
      <c r="U24" s="123">
        <v>0.21875</v>
      </c>
      <c r="V24" s="21">
        <f>T9</f>
        <v>0</v>
      </c>
      <c r="W24" s="22"/>
      <c r="X24" s="125">
        <v>0.875</v>
      </c>
      <c r="Y24" s="208">
        <v>0</v>
      </c>
      <c r="Z24" s="123">
        <v>0.21875</v>
      </c>
      <c r="AA24" s="21">
        <f>Y9</f>
        <v>0</v>
      </c>
      <c r="AB24" s="22"/>
      <c r="AC24" s="125">
        <v>0.875</v>
      </c>
      <c r="AD24" s="214">
        <v>0</v>
      </c>
      <c r="AE24" s="123">
        <v>0.21875</v>
      </c>
      <c r="AF24" s="21">
        <f>AD9</f>
        <v>0</v>
      </c>
      <c r="AH24" s="125">
        <v>0.875</v>
      </c>
      <c r="AJ24" s="123">
        <v>0.21875</v>
      </c>
      <c r="AK24" s="21">
        <f>AI9</f>
        <v>0</v>
      </c>
      <c r="AM24" s="125">
        <v>0.875</v>
      </c>
      <c r="AN24" s="123"/>
      <c r="AO24" s="123">
        <v>0.21875</v>
      </c>
      <c r="AP24" s="21">
        <f>AN9</f>
        <v>0</v>
      </c>
    </row>
    <row r="25" spans="1:42" x14ac:dyDescent="0.3">
      <c r="A25" s="123">
        <v>0.17708333333333334</v>
      </c>
      <c r="B25" s="133">
        <f t="shared" si="0"/>
        <v>0</v>
      </c>
      <c r="D25" s="125">
        <v>0.91666666666666696</v>
      </c>
      <c r="F25" s="123">
        <v>0.22916666666666666</v>
      </c>
      <c r="G25" s="21">
        <f>E9</f>
        <v>0</v>
      </c>
      <c r="H25" s="22"/>
      <c r="I25" s="125">
        <v>0.91666666666666696</v>
      </c>
      <c r="K25" s="123">
        <v>0.22916666666666666</v>
      </c>
      <c r="L25" s="21">
        <f>J9</f>
        <v>0</v>
      </c>
      <c r="M25" s="22"/>
      <c r="N25" s="125">
        <v>0.91666666666666696</v>
      </c>
      <c r="O25">
        <v>0</v>
      </c>
      <c r="P25" s="123">
        <v>0.22916666666666666</v>
      </c>
      <c r="Q25" s="21">
        <f>O9</f>
        <v>0</v>
      </c>
      <c r="R25" s="22"/>
      <c r="S25" s="125">
        <v>0.91666666666666696</v>
      </c>
      <c r="U25" s="123">
        <v>0.22916666666666666</v>
      </c>
      <c r="V25" s="21">
        <f>T9</f>
        <v>0</v>
      </c>
      <c r="W25" s="22"/>
      <c r="X25" s="125">
        <v>0.91666666666666696</v>
      </c>
      <c r="Y25" s="208">
        <v>0</v>
      </c>
      <c r="Z25" s="123">
        <v>0.22916666666666666</v>
      </c>
      <c r="AA25" s="21">
        <f>Y9</f>
        <v>0</v>
      </c>
      <c r="AB25" s="22"/>
      <c r="AC25" s="125">
        <v>0.91666666666666696</v>
      </c>
      <c r="AD25" s="214">
        <v>0</v>
      </c>
      <c r="AE25" s="123">
        <v>0.22916666666666666</v>
      </c>
      <c r="AF25" s="21">
        <f>AD9</f>
        <v>0</v>
      </c>
      <c r="AH25" s="125">
        <v>0.91666666666666696</v>
      </c>
      <c r="AJ25" s="123">
        <v>0.22916666666666666</v>
      </c>
      <c r="AK25" s="21">
        <f>AI9</f>
        <v>0</v>
      </c>
      <c r="AM25" s="125">
        <v>0.91666666666666696</v>
      </c>
      <c r="AN25" s="123"/>
      <c r="AO25" s="123">
        <v>0.22916666666666666</v>
      </c>
      <c r="AP25" s="21">
        <f>AN9</f>
        <v>0</v>
      </c>
    </row>
    <row r="26" spans="1:42" x14ac:dyDescent="0.3">
      <c r="A26" s="123">
        <v>0.1875</v>
      </c>
      <c r="B26" s="133">
        <f t="shared" si="0"/>
        <v>0</v>
      </c>
      <c r="D26" s="125">
        <v>0.95833333333333404</v>
      </c>
      <c r="F26" s="123">
        <v>0.23958333333333334</v>
      </c>
      <c r="G26" s="21">
        <f>E9</f>
        <v>0</v>
      </c>
      <c r="H26" s="22"/>
      <c r="I26" s="125">
        <v>0.95833333333333404</v>
      </c>
      <c r="K26" s="123">
        <v>0.23958333333333334</v>
      </c>
      <c r="L26" s="21">
        <f>J9</f>
        <v>0</v>
      </c>
      <c r="M26" s="22"/>
      <c r="N26" s="125">
        <v>0.95833333333333404</v>
      </c>
      <c r="O26">
        <v>0</v>
      </c>
      <c r="P26" s="123">
        <v>0.23958333333333334</v>
      </c>
      <c r="Q26" s="21">
        <f>O9</f>
        <v>0</v>
      </c>
      <c r="R26" s="22"/>
      <c r="S26" s="125">
        <v>0.95833333333333404</v>
      </c>
      <c r="U26" s="123">
        <v>0.23958333333333334</v>
      </c>
      <c r="V26" s="21">
        <f>T9</f>
        <v>0</v>
      </c>
      <c r="W26" s="22"/>
      <c r="X26" s="125">
        <v>0.95833333333333404</v>
      </c>
      <c r="Y26" s="208">
        <v>0</v>
      </c>
      <c r="Z26" s="123">
        <v>0.23958333333333334</v>
      </c>
      <c r="AA26" s="21">
        <f>Y9</f>
        <v>0</v>
      </c>
      <c r="AB26" s="22"/>
      <c r="AC26" s="125">
        <v>0.95833333333333404</v>
      </c>
      <c r="AD26" s="214">
        <v>0</v>
      </c>
      <c r="AE26" s="123">
        <v>0.23958333333333334</v>
      </c>
      <c r="AF26" s="21">
        <f>AD9</f>
        <v>0</v>
      </c>
      <c r="AH26" s="125">
        <v>0.95833333333333404</v>
      </c>
      <c r="AJ26" s="123">
        <v>0.23958333333333334</v>
      </c>
      <c r="AK26" s="21">
        <f>AI9</f>
        <v>0</v>
      </c>
      <c r="AM26" s="125">
        <v>0.95833333333333404</v>
      </c>
      <c r="AN26" s="123"/>
      <c r="AO26" s="123">
        <v>0.23958333333333334</v>
      </c>
      <c r="AP26" s="21">
        <f>AN9</f>
        <v>0</v>
      </c>
    </row>
    <row r="27" spans="1:42" x14ac:dyDescent="0.3">
      <c r="A27" s="123">
        <v>0.19791666666666666</v>
      </c>
      <c r="B27" s="133">
        <f t="shared" si="0"/>
        <v>0</v>
      </c>
      <c r="D27" s="125">
        <v>1</v>
      </c>
      <c r="F27" s="123">
        <v>0.25</v>
      </c>
      <c r="G27" s="21">
        <f>E9</f>
        <v>0</v>
      </c>
      <c r="H27" s="22"/>
      <c r="I27" s="125">
        <v>1</v>
      </c>
      <c r="K27" s="123">
        <v>0.25</v>
      </c>
      <c r="L27" s="21">
        <f>J9</f>
        <v>0</v>
      </c>
      <c r="M27" s="22"/>
      <c r="N27" s="125">
        <v>1</v>
      </c>
      <c r="O27">
        <v>0</v>
      </c>
      <c r="P27" s="123">
        <v>0.25</v>
      </c>
      <c r="Q27" s="21">
        <f>O9</f>
        <v>0</v>
      </c>
      <c r="R27" s="22"/>
      <c r="S27" s="125">
        <v>1</v>
      </c>
      <c r="U27" s="123">
        <v>0.25</v>
      </c>
      <c r="V27" s="21">
        <f>T9</f>
        <v>0</v>
      </c>
      <c r="W27" s="22"/>
      <c r="X27" s="125">
        <v>1</v>
      </c>
      <c r="Y27" s="208">
        <v>0</v>
      </c>
      <c r="Z27" s="123">
        <v>0.25</v>
      </c>
      <c r="AA27" s="21">
        <f>Y9</f>
        <v>0</v>
      </c>
      <c r="AB27" s="22"/>
      <c r="AC27" s="125">
        <v>1</v>
      </c>
      <c r="AD27" s="214">
        <v>0</v>
      </c>
      <c r="AE27" s="123">
        <v>0.25</v>
      </c>
      <c r="AF27" s="21">
        <f>AD9</f>
        <v>0</v>
      </c>
      <c r="AH27" s="125">
        <v>1</v>
      </c>
      <c r="AJ27" s="123">
        <v>0.25</v>
      </c>
      <c r="AK27" s="21">
        <f>AI9</f>
        <v>0</v>
      </c>
      <c r="AM27" s="125">
        <v>1</v>
      </c>
      <c r="AN27" s="123"/>
      <c r="AO27" s="123">
        <v>0.25</v>
      </c>
      <c r="AP27" s="21">
        <f>AN9</f>
        <v>0</v>
      </c>
    </row>
    <row r="28" spans="1:42" x14ac:dyDescent="0.3">
      <c r="A28" s="123">
        <v>0.20833333333333334</v>
      </c>
      <c r="B28" s="133">
        <f t="shared" si="0"/>
        <v>0</v>
      </c>
      <c r="D28" s="125"/>
      <c r="E28" s="123"/>
      <c r="F28" s="123">
        <v>0.26041666666666669</v>
      </c>
      <c r="G28" s="21">
        <f>E10</f>
        <v>0</v>
      </c>
      <c r="H28" s="22"/>
      <c r="I28" s="125"/>
      <c r="J28" s="123"/>
      <c r="K28" s="123">
        <v>0.26041666666666669</v>
      </c>
      <c r="L28" s="21">
        <f>J10</f>
        <v>0</v>
      </c>
      <c r="M28" s="22"/>
      <c r="N28" s="125"/>
      <c r="O28" s="123"/>
      <c r="P28" s="123">
        <v>0.26041666666666669</v>
      </c>
      <c r="Q28" s="21">
        <f>O10</f>
        <v>26.060199999999998</v>
      </c>
      <c r="R28" s="22"/>
      <c r="S28" s="125"/>
      <c r="T28" s="123"/>
      <c r="U28" s="123">
        <v>0.26041666666666669</v>
      </c>
      <c r="V28" s="21">
        <f>T10</f>
        <v>0</v>
      </c>
      <c r="W28" s="22"/>
      <c r="X28" s="125"/>
      <c r="Y28" s="123"/>
      <c r="Z28" s="123">
        <v>0.26041666666666669</v>
      </c>
      <c r="AA28" s="21">
        <f>Y10</f>
        <v>0</v>
      </c>
      <c r="AB28" s="22"/>
      <c r="AC28" s="125"/>
      <c r="AD28" s="123"/>
      <c r="AE28" s="123">
        <v>0.26041666666666669</v>
      </c>
      <c r="AF28" s="21">
        <f>AD10</f>
        <v>23.501999999999999</v>
      </c>
      <c r="AH28" s="125"/>
      <c r="AI28" s="123"/>
      <c r="AJ28" s="123">
        <v>0.26041666666666669</v>
      </c>
      <c r="AK28" s="21">
        <f>AI10</f>
        <v>0</v>
      </c>
      <c r="AM28" s="125"/>
      <c r="AN28" s="123"/>
      <c r="AO28" s="123">
        <v>0.26041666666666669</v>
      </c>
      <c r="AP28" s="21">
        <f>AN10</f>
        <v>0</v>
      </c>
    </row>
    <row r="29" spans="1:42" x14ac:dyDescent="0.3">
      <c r="A29" s="123">
        <v>0.21875</v>
      </c>
      <c r="B29" s="133">
        <f t="shared" si="0"/>
        <v>0</v>
      </c>
      <c r="D29" s="125"/>
      <c r="E29" s="123"/>
      <c r="F29" s="123">
        <v>0.27083333333333331</v>
      </c>
      <c r="G29" s="21">
        <f>E10</f>
        <v>0</v>
      </c>
      <c r="H29" s="22"/>
      <c r="I29" s="125"/>
      <c r="J29" s="123"/>
      <c r="K29" s="123">
        <v>0.27083333333333331</v>
      </c>
      <c r="L29" s="21">
        <f>J10</f>
        <v>0</v>
      </c>
      <c r="M29" s="22"/>
      <c r="N29" s="125"/>
      <c r="O29" s="123"/>
      <c r="P29" s="123">
        <v>0.27083333333333331</v>
      </c>
      <c r="Q29" s="21">
        <f>O10</f>
        <v>26.060199999999998</v>
      </c>
      <c r="R29" s="22"/>
      <c r="S29" s="125"/>
      <c r="T29" s="123"/>
      <c r="U29" s="123">
        <v>0.27083333333333331</v>
      </c>
      <c r="V29" s="21">
        <f>T10</f>
        <v>0</v>
      </c>
      <c r="W29" s="22"/>
      <c r="X29" s="125"/>
      <c r="Y29" s="123"/>
      <c r="Z29" s="123">
        <v>0.27083333333333331</v>
      </c>
      <c r="AA29" s="21">
        <f>Y10</f>
        <v>0</v>
      </c>
      <c r="AB29" s="22"/>
      <c r="AC29" s="125"/>
      <c r="AD29" s="123"/>
      <c r="AE29" s="123">
        <v>0.27083333333333331</v>
      </c>
      <c r="AF29" s="21">
        <f>AD10</f>
        <v>23.501999999999999</v>
      </c>
      <c r="AH29" s="125"/>
      <c r="AI29" s="123"/>
      <c r="AJ29" s="123">
        <v>0.27083333333333331</v>
      </c>
      <c r="AK29" s="21">
        <f>AI10</f>
        <v>0</v>
      </c>
      <c r="AM29" s="125"/>
      <c r="AN29" s="123"/>
      <c r="AO29" s="123">
        <v>0.27083333333333331</v>
      </c>
      <c r="AP29" s="21">
        <f>AN10</f>
        <v>0</v>
      </c>
    </row>
    <row r="30" spans="1:42" x14ac:dyDescent="0.3">
      <c r="A30" s="123">
        <v>0.22916666666666666</v>
      </c>
      <c r="B30" s="133">
        <f t="shared" si="0"/>
        <v>0</v>
      </c>
      <c r="D30" s="125"/>
      <c r="E30" s="123"/>
      <c r="F30" s="123">
        <v>0.28125</v>
      </c>
      <c r="G30" s="21">
        <f>E10</f>
        <v>0</v>
      </c>
      <c r="H30" s="22"/>
      <c r="I30" s="125"/>
      <c r="J30" s="123"/>
      <c r="K30" s="123">
        <v>0.28125</v>
      </c>
      <c r="L30" s="21">
        <f>J10</f>
        <v>0</v>
      </c>
      <c r="M30" s="22"/>
      <c r="N30" s="125"/>
      <c r="O30" s="123"/>
      <c r="P30" s="123">
        <v>0.28125</v>
      </c>
      <c r="Q30" s="21">
        <f>O10</f>
        <v>26.060199999999998</v>
      </c>
      <c r="R30" s="22"/>
      <c r="S30" s="125"/>
      <c r="T30" s="123"/>
      <c r="U30" s="123">
        <v>0.28125</v>
      </c>
      <c r="V30" s="21">
        <f>T10</f>
        <v>0</v>
      </c>
      <c r="W30" s="22"/>
      <c r="X30" s="125"/>
      <c r="Y30" s="123"/>
      <c r="Z30" s="123">
        <v>0.28125</v>
      </c>
      <c r="AA30" s="21">
        <f>Y10</f>
        <v>0</v>
      </c>
      <c r="AB30" s="22"/>
      <c r="AC30" s="125"/>
      <c r="AD30" s="123"/>
      <c r="AE30" s="123">
        <v>0.28125</v>
      </c>
      <c r="AF30" s="21">
        <f>AD10</f>
        <v>23.501999999999999</v>
      </c>
      <c r="AH30" s="125"/>
      <c r="AI30" s="123"/>
      <c r="AJ30" s="123">
        <v>0.28125</v>
      </c>
      <c r="AK30" s="21">
        <f>AI10</f>
        <v>0</v>
      </c>
      <c r="AM30" s="125"/>
      <c r="AN30" s="123"/>
      <c r="AO30" s="123">
        <v>0.28125</v>
      </c>
      <c r="AP30" s="21">
        <f>AN10</f>
        <v>0</v>
      </c>
    </row>
    <row r="31" spans="1:42" x14ac:dyDescent="0.3">
      <c r="A31" s="123">
        <v>0.23958333333333334</v>
      </c>
      <c r="B31" s="133">
        <f t="shared" si="0"/>
        <v>0</v>
      </c>
      <c r="D31" s="125"/>
      <c r="E31" s="123"/>
      <c r="F31" s="123">
        <v>0.29166666666666669</v>
      </c>
      <c r="G31" s="21">
        <f>E10</f>
        <v>0</v>
      </c>
      <c r="H31" s="22"/>
      <c r="I31" s="125"/>
      <c r="J31" s="123"/>
      <c r="K31" s="123">
        <v>0.29166666666666669</v>
      </c>
      <c r="L31" s="21">
        <f>J10</f>
        <v>0</v>
      </c>
      <c r="M31" s="22"/>
      <c r="N31" s="125"/>
      <c r="O31" s="123"/>
      <c r="P31" s="123">
        <v>0.29166666666666669</v>
      </c>
      <c r="Q31" s="21">
        <f>O10</f>
        <v>26.060199999999998</v>
      </c>
      <c r="R31" s="22"/>
      <c r="S31" s="125"/>
      <c r="T31" s="123"/>
      <c r="U31" s="123">
        <v>0.29166666666666669</v>
      </c>
      <c r="V31" s="21">
        <f>T10</f>
        <v>0</v>
      </c>
      <c r="W31" s="22"/>
      <c r="X31" s="125"/>
      <c r="Y31" s="123"/>
      <c r="Z31" s="123">
        <v>0.29166666666666669</v>
      </c>
      <c r="AA31" s="21">
        <f>Y10</f>
        <v>0</v>
      </c>
      <c r="AB31" s="22"/>
      <c r="AC31" s="125"/>
      <c r="AD31" s="123"/>
      <c r="AE31" s="123">
        <v>0.29166666666666669</v>
      </c>
      <c r="AF31" s="21">
        <f>AD10</f>
        <v>23.501999999999999</v>
      </c>
      <c r="AH31" s="125"/>
      <c r="AI31" s="123"/>
      <c r="AJ31" s="123">
        <v>0.29166666666666669</v>
      </c>
      <c r="AK31" s="21">
        <f>AI10</f>
        <v>0</v>
      </c>
      <c r="AM31" s="125"/>
      <c r="AN31" s="123"/>
      <c r="AO31" s="123">
        <v>0.29166666666666669</v>
      </c>
      <c r="AP31" s="21">
        <f>AN10</f>
        <v>0</v>
      </c>
    </row>
    <row r="32" spans="1:42" x14ac:dyDescent="0.3">
      <c r="A32" s="123">
        <v>0.25</v>
      </c>
      <c r="B32" s="133">
        <f t="shared" si="0"/>
        <v>0</v>
      </c>
      <c r="D32" s="125"/>
      <c r="E32" s="123"/>
      <c r="F32" s="123">
        <v>0.30208333333333331</v>
      </c>
      <c r="G32" s="21">
        <f>E11</f>
        <v>0</v>
      </c>
      <c r="H32" s="22"/>
      <c r="I32" s="125"/>
      <c r="J32" s="123"/>
      <c r="K32" s="123">
        <v>0.30208333333333331</v>
      </c>
      <c r="L32" s="21">
        <f>J11</f>
        <v>0</v>
      </c>
      <c r="M32" s="22"/>
      <c r="N32" s="125"/>
      <c r="O32" s="123"/>
      <c r="P32" s="123">
        <v>0.30208333333333331</v>
      </c>
      <c r="Q32" s="21">
        <f>O11</f>
        <v>109.22199999999999</v>
      </c>
      <c r="R32" s="22"/>
      <c r="S32" s="125"/>
      <c r="T32" s="123"/>
      <c r="U32" s="123">
        <v>0.30208333333333331</v>
      </c>
      <c r="V32" s="21">
        <f>T11</f>
        <v>0</v>
      </c>
      <c r="W32" s="22"/>
      <c r="X32" s="125"/>
      <c r="Y32" s="123"/>
      <c r="Z32" s="123">
        <v>0.30208333333333331</v>
      </c>
      <c r="AA32" s="21">
        <f>Y11</f>
        <v>0</v>
      </c>
      <c r="AB32" s="22"/>
      <c r="AC32" s="125"/>
      <c r="AD32" s="123"/>
      <c r="AE32" s="123">
        <v>0.30208333333333331</v>
      </c>
      <c r="AF32" s="21">
        <f>AD11</f>
        <v>109.069</v>
      </c>
      <c r="AH32" s="125"/>
      <c r="AI32" s="123"/>
      <c r="AJ32" s="123">
        <v>0.30208333333333331</v>
      </c>
      <c r="AK32" s="21">
        <f>AI11</f>
        <v>0</v>
      </c>
      <c r="AM32" s="125"/>
      <c r="AN32" s="123"/>
      <c r="AO32" s="123">
        <v>0.30208333333333331</v>
      </c>
      <c r="AP32" s="21">
        <f>AN11</f>
        <v>0</v>
      </c>
    </row>
    <row r="33" spans="1:42" x14ac:dyDescent="0.3">
      <c r="A33" s="123">
        <v>0.26041666666666669</v>
      </c>
      <c r="B33" s="133">
        <f t="shared" si="0"/>
        <v>0</v>
      </c>
      <c r="D33" s="125"/>
      <c r="E33" s="123"/>
      <c r="F33" s="123">
        <v>0.3125</v>
      </c>
      <c r="G33" s="21">
        <f>E11</f>
        <v>0</v>
      </c>
      <c r="H33" s="22"/>
      <c r="I33" s="125"/>
      <c r="J33" s="123"/>
      <c r="K33" s="123">
        <v>0.3125</v>
      </c>
      <c r="L33" s="21">
        <f>J11</f>
        <v>0</v>
      </c>
      <c r="M33" s="22"/>
      <c r="N33" s="125"/>
      <c r="O33" s="123"/>
      <c r="P33" s="123">
        <v>0.3125</v>
      </c>
      <c r="Q33" s="21">
        <f>O11</f>
        <v>109.22199999999999</v>
      </c>
      <c r="R33" s="22"/>
      <c r="S33" s="125"/>
      <c r="T33" s="123"/>
      <c r="U33" s="123">
        <v>0.3125</v>
      </c>
      <c r="V33" s="21">
        <f>T11</f>
        <v>0</v>
      </c>
      <c r="W33" s="22"/>
      <c r="X33" s="125"/>
      <c r="Y33" s="123"/>
      <c r="Z33" s="123">
        <v>0.3125</v>
      </c>
      <c r="AA33" s="21">
        <f>Y11</f>
        <v>0</v>
      </c>
      <c r="AB33" s="22"/>
      <c r="AC33" s="125"/>
      <c r="AD33" s="123"/>
      <c r="AE33" s="123">
        <v>0.3125</v>
      </c>
      <c r="AF33" s="21">
        <f>AD11</f>
        <v>109.069</v>
      </c>
      <c r="AH33" s="125"/>
      <c r="AI33" s="123"/>
      <c r="AJ33" s="123">
        <v>0.3125</v>
      </c>
      <c r="AK33" s="21">
        <f>AI11</f>
        <v>0</v>
      </c>
      <c r="AM33" s="125"/>
      <c r="AN33" s="123"/>
      <c r="AO33" s="123">
        <v>0.3125</v>
      </c>
      <c r="AP33" s="21">
        <f>AN11</f>
        <v>0</v>
      </c>
    </row>
    <row r="34" spans="1:42" x14ac:dyDescent="0.3">
      <c r="A34" s="123">
        <v>0.27083333333333331</v>
      </c>
      <c r="B34" s="133">
        <f t="shared" si="0"/>
        <v>0</v>
      </c>
      <c r="D34" s="125"/>
      <c r="E34" s="123"/>
      <c r="F34" s="123">
        <v>0.32291666666666669</v>
      </c>
      <c r="G34" s="21">
        <f>E11</f>
        <v>0</v>
      </c>
      <c r="H34" s="22"/>
      <c r="I34" s="125"/>
      <c r="J34" s="123"/>
      <c r="K34" s="123">
        <v>0.32291666666666669</v>
      </c>
      <c r="L34" s="21">
        <f>J11</f>
        <v>0</v>
      </c>
      <c r="M34" s="22"/>
      <c r="N34" s="125"/>
      <c r="O34" s="123"/>
      <c r="P34" s="123">
        <v>0.32291666666666669</v>
      </c>
      <c r="Q34" s="21">
        <f>O11</f>
        <v>109.22199999999999</v>
      </c>
      <c r="R34" s="22"/>
      <c r="S34" s="125"/>
      <c r="T34" s="123"/>
      <c r="U34" s="123">
        <v>0.32291666666666669</v>
      </c>
      <c r="V34" s="21">
        <f>T11</f>
        <v>0</v>
      </c>
      <c r="W34" s="22"/>
      <c r="X34" s="125"/>
      <c r="Y34" s="123"/>
      <c r="Z34" s="123">
        <v>0.32291666666666669</v>
      </c>
      <c r="AA34" s="21">
        <f>Y11</f>
        <v>0</v>
      </c>
      <c r="AB34" s="22"/>
      <c r="AC34" s="125"/>
      <c r="AD34" s="123"/>
      <c r="AE34" s="123">
        <v>0.32291666666666669</v>
      </c>
      <c r="AF34" s="21">
        <f>AD11</f>
        <v>109.069</v>
      </c>
      <c r="AH34" s="125"/>
      <c r="AI34" s="123"/>
      <c r="AJ34" s="123">
        <v>0.32291666666666669</v>
      </c>
      <c r="AK34" s="21">
        <f>AI11</f>
        <v>0</v>
      </c>
      <c r="AM34" s="125"/>
      <c r="AN34" s="123"/>
      <c r="AO34" s="123">
        <v>0.32291666666666669</v>
      </c>
      <c r="AP34" s="21">
        <f>AN11</f>
        <v>0</v>
      </c>
    </row>
    <row r="35" spans="1:42" x14ac:dyDescent="0.3">
      <c r="A35" s="123">
        <v>0.28125</v>
      </c>
      <c r="B35" s="133">
        <f t="shared" si="0"/>
        <v>0</v>
      </c>
      <c r="D35" s="125"/>
      <c r="E35" s="123"/>
      <c r="F35" s="123">
        <v>0.33333333333333331</v>
      </c>
      <c r="G35" s="21">
        <f>E11</f>
        <v>0</v>
      </c>
      <c r="H35" s="22"/>
      <c r="I35" s="125"/>
      <c r="J35" s="123"/>
      <c r="K35" s="123">
        <v>0.33333333333333331</v>
      </c>
      <c r="L35" s="21">
        <f>J11</f>
        <v>0</v>
      </c>
      <c r="M35" s="22"/>
      <c r="N35" s="125"/>
      <c r="O35" s="123"/>
      <c r="P35" s="123">
        <v>0.33333333333333331</v>
      </c>
      <c r="Q35" s="21">
        <f>O11</f>
        <v>109.22199999999999</v>
      </c>
      <c r="R35" s="22"/>
      <c r="S35" s="125"/>
      <c r="T35" s="123"/>
      <c r="U35" s="123">
        <v>0.33333333333333331</v>
      </c>
      <c r="V35" s="21">
        <f>T11</f>
        <v>0</v>
      </c>
      <c r="W35" s="22"/>
      <c r="X35" s="125"/>
      <c r="Y35" s="123"/>
      <c r="Z35" s="123">
        <v>0.33333333333333331</v>
      </c>
      <c r="AA35" s="21">
        <f>Y11</f>
        <v>0</v>
      </c>
      <c r="AB35" s="22"/>
      <c r="AC35" s="125"/>
      <c r="AD35" s="123"/>
      <c r="AE35" s="123">
        <v>0.33333333333333331</v>
      </c>
      <c r="AF35" s="21">
        <f>AD11</f>
        <v>109.069</v>
      </c>
      <c r="AH35" s="125"/>
      <c r="AI35" s="123"/>
      <c r="AJ35" s="123">
        <v>0.33333333333333331</v>
      </c>
      <c r="AK35" s="21">
        <f>AI11</f>
        <v>0</v>
      </c>
      <c r="AM35" s="125"/>
      <c r="AN35" s="123"/>
      <c r="AO35" s="123">
        <v>0.33333333333333331</v>
      </c>
      <c r="AP35" s="21">
        <f>AN11</f>
        <v>0</v>
      </c>
    </row>
    <row r="36" spans="1:42" x14ac:dyDescent="0.3">
      <c r="A36" s="123">
        <v>0.29166666666666669</v>
      </c>
      <c r="B36" s="133">
        <f t="shared" si="0"/>
        <v>0</v>
      </c>
      <c r="D36" s="125"/>
      <c r="E36" s="123"/>
      <c r="F36" s="123">
        <v>0.34375</v>
      </c>
      <c r="G36" s="21">
        <f>E12</f>
        <v>0</v>
      </c>
      <c r="H36" s="22"/>
      <c r="I36" s="125"/>
      <c r="J36" s="123"/>
      <c r="K36" s="123">
        <v>0.34375</v>
      </c>
      <c r="L36" s="21">
        <f>J12</f>
        <v>0</v>
      </c>
      <c r="M36" s="22"/>
      <c r="N36" s="125"/>
      <c r="O36" s="123"/>
      <c r="P36" s="123">
        <v>0.34375</v>
      </c>
      <c r="Q36" s="21">
        <f>O12</f>
        <v>289.24400000000003</v>
      </c>
      <c r="R36" s="22"/>
      <c r="S36" s="125"/>
      <c r="T36" s="123"/>
      <c r="U36" s="123">
        <v>0.34375</v>
      </c>
      <c r="V36" s="21">
        <f>T12</f>
        <v>0</v>
      </c>
      <c r="W36" s="22"/>
      <c r="X36" s="125"/>
      <c r="Y36" s="123"/>
      <c r="Z36" s="123">
        <v>0.34375</v>
      </c>
      <c r="AA36" s="21">
        <f>Y12</f>
        <v>146.77099999999999</v>
      </c>
      <c r="AB36" s="22"/>
      <c r="AC36" s="125"/>
      <c r="AD36" s="123"/>
      <c r="AE36" s="123">
        <v>0.34375</v>
      </c>
      <c r="AF36" s="21">
        <f>AD12</f>
        <v>289.93900000000002</v>
      </c>
      <c r="AH36" s="125"/>
      <c r="AI36" s="123"/>
      <c r="AJ36" s="123">
        <v>0.34375</v>
      </c>
      <c r="AK36" s="21">
        <f>AI12</f>
        <v>0</v>
      </c>
      <c r="AM36" s="125"/>
      <c r="AN36" s="123"/>
      <c r="AO36" s="123">
        <v>0.34375</v>
      </c>
      <c r="AP36" s="21">
        <f>AN12</f>
        <v>0</v>
      </c>
    </row>
    <row r="37" spans="1:42" x14ac:dyDescent="0.3">
      <c r="A37" s="123">
        <v>0.30208333333333331</v>
      </c>
      <c r="B37" s="133">
        <f t="shared" si="0"/>
        <v>0</v>
      </c>
      <c r="D37" s="125"/>
      <c r="E37" s="123"/>
      <c r="F37" s="123">
        <v>0.35416666666666669</v>
      </c>
      <c r="G37" s="21">
        <f>E12</f>
        <v>0</v>
      </c>
      <c r="H37" s="22"/>
      <c r="I37" s="125"/>
      <c r="J37" s="123"/>
      <c r="K37" s="123">
        <v>0.35416666666666669</v>
      </c>
      <c r="L37" s="21">
        <f>J12</f>
        <v>0</v>
      </c>
      <c r="M37" s="22"/>
      <c r="N37" s="125"/>
      <c r="O37" s="123"/>
      <c r="P37" s="123">
        <v>0.35416666666666669</v>
      </c>
      <c r="Q37" s="21">
        <f>O12</f>
        <v>289.24400000000003</v>
      </c>
      <c r="R37" s="22"/>
      <c r="S37" s="125"/>
      <c r="T37" s="123"/>
      <c r="U37" s="123">
        <v>0.35416666666666669</v>
      </c>
      <c r="V37" s="21">
        <f>T12</f>
        <v>0</v>
      </c>
      <c r="W37" s="22"/>
      <c r="X37" s="125"/>
      <c r="Y37" s="123"/>
      <c r="Z37" s="123">
        <v>0.35416666666666669</v>
      </c>
      <c r="AA37" s="21">
        <f>Y12</f>
        <v>146.77099999999999</v>
      </c>
      <c r="AB37" s="22"/>
      <c r="AC37" s="125"/>
      <c r="AD37" s="123"/>
      <c r="AE37" s="123">
        <v>0.35416666666666669</v>
      </c>
      <c r="AF37" s="21">
        <f>AD12</f>
        <v>289.93900000000002</v>
      </c>
      <c r="AH37" s="125"/>
      <c r="AI37" s="123"/>
      <c r="AJ37" s="123">
        <v>0.35416666666666669</v>
      </c>
      <c r="AK37" s="21">
        <f>AI12</f>
        <v>0</v>
      </c>
      <c r="AM37" s="125"/>
      <c r="AN37" s="123"/>
      <c r="AO37" s="123">
        <v>0.35416666666666669</v>
      </c>
      <c r="AP37" s="21">
        <f>AN12</f>
        <v>0</v>
      </c>
    </row>
    <row r="38" spans="1:42" x14ac:dyDescent="0.3">
      <c r="A38" s="123">
        <v>0.3125</v>
      </c>
      <c r="B38" s="133">
        <f t="shared" si="0"/>
        <v>0</v>
      </c>
      <c r="D38" s="125"/>
      <c r="E38" s="123"/>
      <c r="F38" s="123">
        <v>0.36458333333333331</v>
      </c>
      <c r="G38" s="21">
        <f>E12</f>
        <v>0</v>
      </c>
      <c r="H38" s="22"/>
      <c r="I38" s="125"/>
      <c r="J38" s="123"/>
      <c r="K38" s="123">
        <v>0.36458333333333331</v>
      </c>
      <c r="L38" s="21">
        <f>J12</f>
        <v>0</v>
      </c>
      <c r="M38" s="22"/>
      <c r="N38" s="125"/>
      <c r="O38" s="123"/>
      <c r="P38" s="123">
        <v>0.36458333333333331</v>
      </c>
      <c r="Q38" s="21">
        <f>O12</f>
        <v>289.24400000000003</v>
      </c>
      <c r="R38" s="22"/>
      <c r="S38" s="125"/>
      <c r="T38" s="123"/>
      <c r="U38" s="123">
        <v>0.36458333333333331</v>
      </c>
      <c r="V38" s="21">
        <f>T12</f>
        <v>0</v>
      </c>
      <c r="W38" s="22"/>
      <c r="X38" s="125"/>
      <c r="Y38" s="123"/>
      <c r="Z38" s="123">
        <v>0.36458333333333331</v>
      </c>
      <c r="AA38" s="21">
        <f>Y12</f>
        <v>146.77099999999999</v>
      </c>
      <c r="AB38" s="22"/>
      <c r="AC38" s="125"/>
      <c r="AD38" s="123"/>
      <c r="AE38" s="123">
        <v>0.36458333333333331</v>
      </c>
      <c r="AF38" s="21">
        <f>AD12</f>
        <v>289.93900000000002</v>
      </c>
      <c r="AH38" s="125"/>
      <c r="AI38" s="123"/>
      <c r="AJ38" s="123">
        <v>0.36458333333333331</v>
      </c>
      <c r="AK38" s="21">
        <f>AI12</f>
        <v>0</v>
      </c>
      <c r="AM38" s="125"/>
      <c r="AN38" s="123"/>
      <c r="AO38" s="123">
        <v>0.36458333333333331</v>
      </c>
      <c r="AP38" s="21">
        <f>AN12</f>
        <v>0</v>
      </c>
    </row>
    <row r="39" spans="1:42" x14ac:dyDescent="0.3">
      <c r="A39" s="123">
        <v>0.32291666666666669</v>
      </c>
      <c r="B39" s="133">
        <f t="shared" si="0"/>
        <v>0</v>
      </c>
      <c r="D39" s="125"/>
      <c r="E39" s="123"/>
      <c r="F39" s="123">
        <v>0.375</v>
      </c>
      <c r="G39" s="21">
        <f>E12</f>
        <v>0</v>
      </c>
      <c r="H39" s="22"/>
      <c r="I39" s="125"/>
      <c r="J39" s="123"/>
      <c r="K39" s="123">
        <v>0.375</v>
      </c>
      <c r="L39" s="21">
        <f>J12</f>
        <v>0</v>
      </c>
      <c r="M39" s="22"/>
      <c r="N39" s="125"/>
      <c r="O39" s="123"/>
      <c r="P39" s="123">
        <v>0.375</v>
      </c>
      <c r="Q39" s="21">
        <f>O12</f>
        <v>289.24400000000003</v>
      </c>
      <c r="R39" s="22"/>
      <c r="S39" s="125"/>
      <c r="T39" s="123"/>
      <c r="U39" s="123">
        <v>0.375</v>
      </c>
      <c r="V39" s="21">
        <f>T12</f>
        <v>0</v>
      </c>
      <c r="W39" s="22"/>
      <c r="X39" s="125"/>
      <c r="Y39" s="123"/>
      <c r="Z39" s="123">
        <v>0.375</v>
      </c>
      <c r="AA39" s="21">
        <f>Y12</f>
        <v>146.77099999999999</v>
      </c>
      <c r="AB39" s="22"/>
      <c r="AC39" s="125"/>
      <c r="AD39" s="123"/>
      <c r="AE39" s="123">
        <v>0.375</v>
      </c>
      <c r="AF39" s="21">
        <f>AD12</f>
        <v>289.93900000000002</v>
      </c>
      <c r="AH39" s="125"/>
      <c r="AI39" s="123"/>
      <c r="AJ39" s="123">
        <v>0.375</v>
      </c>
      <c r="AK39" s="21">
        <f>AI12</f>
        <v>0</v>
      </c>
      <c r="AM39" s="125"/>
      <c r="AN39" s="123"/>
      <c r="AO39" s="123">
        <v>0.375</v>
      </c>
      <c r="AP39" s="21">
        <f>AN12</f>
        <v>0</v>
      </c>
    </row>
    <row r="40" spans="1:42" x14ac:dyDescent="0.3">
      <c r="A40" s="123">
        <v>0.33333333333333331</v>
      </c>
      <c r="B40" s="133">
        <f t="shared" si="0"/>
        <v>0</v>
      </c>
      <c r="D40" s="125"/>
      <c r="E40" s="123"/>
      <c r="F40" s="123">
        <v>0.38541666666666669</v>
      </c>
      <c r="G40" s="21">
        <f>E13</f>
        <v>0</v>
      </c>
      <c r="H40" s="22"/>
      <c r="I40" s="125"/>
      <c r="J40" s="123"/>
      <c r="K40" s="123">
        <v>0.38541666666666669</v>
      </c>
      <c r="L40" s="21">
        <f>J13</f>
        <v>0</v>
      </c>
      <c r="M40" s="22"/>
      <c r="N40" s="125"/>
      <c r="O40" s="123"/>
      <c r="P40" s="123">
        <v>0.38541666666666669</v>
      </c>
      <c r="Q40" s="21">
        <f>O13</f>
        <v>391.15800000000002</v>
      </c>
      <c r="R40" s="22"/>
      <c r="S40" s="125"/>
      <c r="T40" s="123"/>
      <c r="U40" s="123">
        <v>0.38541666666666669</v>
      </c>
      <c r="V40" s="21">
        <f>T13</f>
        <v>0</v>
      </c>
      <c r="W40" s="22"/>
      <c r="X40" s="125"/>
      <c r="Y40" s="123"/>
      <c r="Z40" s="123">
        <v>0.38541666666666669</v>
      </c>
      <c r="AA40" s="21">
        <f>Y13</f>
        <v>406.59</v>
      </c>
      <c r="AB40" s="22"/>
      <c r="AC40" s="125"/>
      <c r="AD40" s="123"/>
      <c r="AE40" s="123">
        <v>0.38541666666666669</v>
      </c>
      <c r="AF40" s="21">
        <f>AD13</f>
        <v>462.036</v>
      </c>
      <c r="AH40" s="125"/>
      <c r="AI40" s="123"/>
      <c r="AJ40" s="123">
        <v>0.38541666666666669</v>
      </c>
      <c r="AK40" s="21">
        <f>AI13</f>
        <v>0</v>
      </c>
      <c r="AM40" s="125"/>
      <c r="AN40" s="123"/>
      <c r="AO40" s="123">
        <v>0.38541666666666669</v>
      </c>
      <c r="AP40" s="21">
        <f>AN13</f>
        <v>0</v>
      </c>
    </row>
    <row r="41" spans="1:42" x14ac:dyDescent="0.3">
      <c r="A41" s="123">
        <v>0.34375</v>
      </c>
      <c r="B41" s="133">
        <f t="shared" si="0"/>
        <v>0</v>
      </c>
      <c r="D41" s="125"/>
      <c r="E41" s="123"/>
      <c r="F41" s="123">
        <v>0.39583333333333331</v>
      </c>
      <c r="G41" s="21">
        <f>E13</f>
        <v>0</v>
      </c>
      <c r="H41" s="22"/>
      <c r="I41" s="125"/>
      <c r="J41" s="123"/>
      <c r="K41" s="123">
        <v>0.39583333333333331</v>
      </c>
      <c r="L41" s="21">
        <f>J13</f>
        <v>0</v>
      </c>
      <c r="M41" s="22"/>
      <c r="N41" s="125"/>
      <c r="O41" s="123"/>
      <c r="P41" s="123">
        <v>0.39583333333333331</v>
      </c>
      <c r="Q41" s="21">
        <f>O13</f>
        <v>391.15800000000002</v>
      </c>
      <c r="R41" s="22"/>
      <c r="S41" s="125"/>
      <c r="T41" s="123"/>
      <c r="U41" s="123">
        <v>0.39583333333333331</v>
      </c>
      <c r="V41" s="21">
        <f>T13</f>
        <v>0</v>
      </c>
      <c r="W41" s="22"/>
      <c r="X41" s="125"/>
      <c r="Y41" s="123"/>
      <c r="Z41" s="123">
        <v>0.39583333333333331</v>
      </c>
      <c r="AA41" s="21">
        <f>Y13</f>
        <v>406.59</v>
      </c>
      <c r="AB41" s="22"/>
      <c r="AC41" s="125"/>
      <c r="AD41" s="123"/>
      <c r="AE41" s="123">
        <v>0.39583333333333331</v>
      </c>
      <c r="AF41" s="21">
        <f>AD13</f>
        <v>462.036</v>
      </c>
      <c r="AH41" s="125"/>
      <c r="AI41" s="123"/>
      <c r="AJ41" s="123">
        <v>0.39583333333333331</v>
      </c>
      <c r="AK41" s="21">
        <f>AI13</f>
        <v>0</v>
      </c>
      <c r="AM41" s="125"/>
      <c r="AN41" s="123"/>
      <c r="AO41" s="123">
        <v>0.39583333333333331</v>
      </c>
      <c r="AP41" s="21">
        <f>AN13</f>
        <v>0</v>
      </c>
    </row>
    <row r="42" spans="1:42" x14ac:dyDescent="0.3">
      <c r="A42" s="123">
        <v>0.35416666666666669</v>
      </c>
      <c r="B42" s="133">
        <f t="shared" si="0"/>
        <v>0</v>
      </c>
      <c r="D42" s="125"/>
      <c r="E42" s="123"/>
      <c r="F42" s="123">
        <v>0.40625</v>
      </c>
      <c r="G42" s="21">
        <f>E13</f>
        <v>0</v>
      </c>
      <c r="H42" s="22"/>
      <c r="I42" s="125"/>
      <c r="J42" s="123"/>
      <c r="K42" s="123">
        <v>0.40625</v>
      </c>
      <c r="L42" s="21">
        <f>J13</f>
        <v>0</v>
      </c>
      <c r="M42" s="22"/>
      <c r="N42" s="125"/>
      <c r="O42" s="123"/>
      <c r="P42" s="123">
        <v>0.40625</v>
      </c>
      <c r="Q42" s="21">
        <f>O13</f>
        <v>391.15800000000002</v>
      </c>
      <c r="R42" s="22"/>
      <c r="S42" s="125"/>
      <c r="T42" s="123"/>
      <c r="U42" s="123">
        <v>0.40625</v>
      </c>
      <c r="V42" s="21">
        <f>T13</f>
        <v>0</v>
      </c>
      <c r="W42" s="22"/>
      <c r="X42" s="125"/>
      <c r="Y42" s="123"/>
      <c r="Z42" s="123">
        <v>0.40625</v>
      </c>
      <c r="AA42" s="21">
        <f>Y13</f>
        <v>406.59</v>
      </c>
      <c r="AB42" s="22"/>
      <c r="AC42" s="125"/>
      <c r="AD42" s="123"/>
      <c r="AE42" s="123">
        <v>0.40625</v>
      </c>
      <c r="AF42" s="21">
        <f>AD13</f>
        <v>462.036</v>
      </c>
      <c r="AH42" s="125"/>
      <c r="AI42" s="123"/>
      <c r="AJ42" s="123">
        <v>0.40625</v>
      </c>
      <c r="AK42" s="21">
        <f>AI13</f>
        <v>0</v>
      </c>
      <c r="AM42" s="125"/>
      <c r="AN42" s="123"/>
      <c r="AO42" s="123">
        <v>0.40625</v>
      </c>
      <c r="AP42" s="21">
        <f>AN13</f>
        <v>0</v>
      </c>
    </row>
    <row r="43" spans="1:42" x14ac:dyDescent="0.3">
      <c r="A43" s="123">
        <v>0.36458333333333331</v>
      </c>
      <c r="B43" s="133">
        <f t="shared" si="0"/>
        <v>0</v>
      </c>
      <c r="D43" s="125"/>
      <c r="E43" s="123"/>
      <c r="F43" s="123">
        <v>0.41666666666666669</v>
      </c>
      <c r="G43" s="21">
        <f>E13</f>
        <v>0</v>
      </c>
      <c r="H43" s="22"/>
      <c r="I43" s="125"/>
      <c r="J43" s="123"/>
      <c r="K43" s="123">
        <v>0.41666666666666669</v>
      </c>
      <c r="L43" s="21">
        <f>J13</f>
        <v>0</v>
      </c>
      <c r="M43" s="22"/>
      <c r="N43" s="125"/>
      <c r="O43" s="123"/>
      <c r="P43" s="123">
        <v>0.41666666666666669</v>
      </c>
      <c r="Q43" s="21">
        <f>O13</f>
        <v>391.15800000000002</v>
      </c>
      <c r="R43" s="22"/>
      <c r="S43" s="125"/>
      <c r="T43" s="123"/>
      <c r="U43" s="123">
        <v>0.41666666666666669</v>
      </c>
      <c r="V43" s="21">
        <f>T13</f>
        <v>0</v>
      </c>
      <c r="W43" s="22"/>
      <c r="X43" s="125"/>
      <c r="Y43" s="123"/>
      <c r="Z43" s="123">
        <v>0.41666666666666669</v>
      </c>
      <c r="AA43" s="21">
        <f>Y13</f>
        <v>406.59</v>
      </c>
      <c r="AB43" s="22"/>
      <c r="AC43" s="125"/>
      <c r="AD43" s="123"/>
      <c r="AE43" s="123">
        <v>0.41666666666666669</v>
      </c>
      <c r="AF43" s="21">
        <f>AD13</f>
        <v>462.036</v>
      </c>
      <c r="AH43" s="125"/>
      <c r="AI43" s="123"/>
      <c r="AJ43" s="123">
        <v>0.41666666666666669</v>
      </c>
      <c r="AK43" s="21">
        <f>AI13</f>
        <v>0</v>
      </c>
      <c r="AM43" s="125"/>
      <c r="AN43" s="123"/>
      <c r="AO43" s="123">
        <v>0.41666666666666669</v>
      </c>
      <c r="AP43" s="21">
        <f>AN13</f>
        <v>0</v>
      </c>
    </row>
    <row r="44" spans="1:42" x14ac:dyDescent="0.3">
      <c r="A44" s="123">
        <v>0.375</v>
      </c>
      <c r="B44" s="133">
        <f t="shared" si="0"/>
        <v>0</v>
      </c>
      <c r="D44" s="125"/>
      <c r="E44" s="123"/>
      <c r="F44" s="123">
        <v>0.42708333333333331</v>
      </c>
      <c r="G44" s="21">
        <f>E14</f>
        <v>0</v>
      </c>
      <c r="H44" s="22"/>
      <c r="I44" s="125"/>
      <c r="J44" s="123"/>
      <c r="K44" s="123">
        <v>0.42708333333333331</v>
      </c>
      <c r="L44" s="21">
        <f>J14</f>
        <v>0</v>
      </c>
      <c r="M44" s="22"/>
      <c r="N44" s="125"/>
      <c r="O44" s="123"/>
      <c r="P44" s="123">
        <v>0.42708333333333331</v>
      </c>
      <c r="Q44" s="21">
        <f>O14</f>
        <v>509.70300000000003</v>
      </c>
      <c r="R44" s="22"/>
      <c r="S44" s="125"/>
      <c r="T44" s="123"/>
      <c r="U44" s="123">
        <v>0.42708333333333331</v>
      </c>
      <c r="V44" s="21">
        <f>T14</f>
        <v>0</v>
      </c>
      <c r="W44" s="22"/>
      <c r="X44" s="125"/>
      <c r="Y44" s="123"/>
      <c r="Z44" s="123">
        <v>0.42708333333333331</v>
      </c>
      <c r="AA44" s="21">
        <f>Y14</f>
        <v>585.74400000000003</v>
      </c>
      <c r="AB44" s="22"/>
      <c r="AC44" s="125"/>
      <c r="AD44" s="123"/>
      <c r="AE44" s="123">
        <v>0.42708333333333331</v>
      </c>
      <c r="AF44" s="21">
        <f>AD14</f>
        <v>590.22500000000002</v>
      </c>
      <c r="AH44" s="125"/>
      <c r="AI44" s="123"/>
      <c r="AJ44" s="123">
        <v>0.42708333333333331</v>
      </c>
      <c r="AK44" s="21">
        <f>AI14</f>
        <v>0</v>
      </c>
      <c r="AM44" s="125"/>
      <c r="AN44" s="123"/>
      <c r="AO44" s="123">
        <v>0.42708333333333331</v>
      </c>
      <c r="AP44" s="21">
        <f>AN14</f>
        <v>0</v>
      </c>
    </row>
    <row r="45" spans="1:42" x14ac:dyDescent="0.3">
      <c r="A45" s="123">
        <v>0.38541666666666669</v>
      </c>
      <c r="B45" s="133">
        <f t="shared" si="0"/>
        <v>0</v>
      </c>
      <c r="D45" s="125"/>
      <c r="E45" s="123"/>
      <c r="F45" s="123">
        <v>0.4375</v>
      </c>
      <c r="G45" s="21">
        <f>E14</f>
        <v>0</v>
      </c>
      <c r="H45" s="22"/>
      <c r="I45" s="125"/>
      <c r="J45" s="123"/>
      <c r="K45" s="123">
        <v>0.4375</v>
      </c>
      <c r="L45" s="21">
        <f>J14</f>
        <v>0</v>
      </c>
      <c r="M45" s="22"/>
      <c r="N45" s="125"/>
      <c r="O45" s="123"/>
      <c r="P45" s="123">
        <v>0.4375</v>
      </c>
      <c r="Q45" s="21">
        <f>O14</f>
        <v>509.70300000000003</v>
      </c>
      <c r="R45" s="22"/>
      <c r="S45" s="125"/>
      <c r="T45" s="123"/>
      <c r="U45" s="123">
        <v>0.4375</v>
      </c>
      <c r="V45" s="21">
        <f>T14</f>
        <v>0</v>
      </c>
      <c r="W45" s="22"/>
      <c r="X45" s="125"/>
      <c r="Y45" s="123"/>
      <c r="Z45" s="123">
        <v>0.4375</v>
      </c>
      <c r="AA45" s="21">
        <f>Y14</f>
        <v>585.74400000000003</v>
      </c>
      <c r="AB45" s="22"/>
      <c r="AC45" s="125"/>
      <c r="AD45" s="123"/>
      <c r="AE45" s="123">
        <v>0.4375</v>
      </c>
      <c r="AF45" s="21">
        <f>AD14</f>
        <v>590.22500000000002</v>
      </c>
      <c r="AH45" s="125"/>
      <c r="AI45" s="123"/>
      <c r="AJ45" s="123">
        <v>0.4375</v>
      </c>
      <c r="AK45" s="21">
        <f>AI14</f>
        <v>0</v>
      </c>
      <c r="AM45" s="125"/>
      <c r="AN45" s="123"/>
      <c r="AO45" s="123">
        <v>0.4375</v>
      </c>
      <c r="AP45" s="21">
        <f>AN14</f>
        <v>0</v>
      </c>
    </row>
    <row r="46" spans="1:42" x14ac:dyDescent="0.3">
      <c r="A46" s="123">
        <v>0.39583333333333331</v>
      </c>
      <c r="B46" s="133">
        <f t="shared" si="0"/>
        <v>0</v>
      </c>
      <c r="D46" s="125"/>
      <c r="E46" s="123"/>
      <c r="F46" s="123">
        <v>0.44791666666666669</v>
      </c>
      <c r="G46" s="21">
        <f>E14</f>
        <v>0</v>
      </c>
      <c r="H46" s="22"/>
      <c r="I46" s="125"/>
      <c r="J46" s="123"/>
      <c r="K46" s="123">
        <v>0.44791666666666669</v>
      </c>
      <c r="L46" s="21">
        <f>J14</f>
        <v>0</v>
      </c>
      <c r="M46" s="22"/>
      <c r="N46" s="125"/>
      <c r="O46" s="123"/>
      <c r="P46" s="123">
        <v>0.44791666666666669</v>
      </c>
      <c r="Q46" s="21">
        <f>O14</f>
        <v>509.70300000000003</v>
      </c>
      <c r="R46" s="22"/>
      <c r="S46" s="125"/>
      <c r="T46" s="123"/>
      <c r="U46" s="123">
        <v>0.44791666666666669</v>
      </c>
      <c r="V46" s="21">
        <f>T14</f>
        <v>0</v>
      </c>
      <c r="W46" s="22"/>
      <c r="X46" s="125"/>
      <c r="Y46" s="123"/>
      <c r="Z46" s="123">
        <v>0.44791666666666669</v>
      </c>
      <c r="AA46" s="21">
        <f>Y14</f>
        <v>585.74400000000003</v>
      </c>
      <c r="AB46" s="22"/>
      <c r="AC46" s="125"/>
      <c r="AD46" s="123"/>
      <c r="AE46" s="123">
        <v>0.44791666666666669</v>
      </c>
      <c r="AF46" s="21">
        <f>AD14</f>
        <v>590.22500000000002</v>
      </c>
      <c r="AH46" s="125"/>
      <c r="AI46" s="123"/>
      <c r="AJ46" s="123">
        <v>0.44791666666666669</v>
      </c>
      <c r="AK46" s="21">
        <f>AI14</f>
        <v>0</v>
      </c>
      <c r="AM46" s="125"/>
      <c r="AN46" s="123"/>
      <c r="AO46" s="123">
        <v>0.44791666666666669</v>
      </c>
      <c r="AP46" s="21">
        <f>AN14</f>
        <v>0</v>
      </c>
    </row>
    <row r="47" spans="1:42" x14ac:dyDescent="0.3">
      <c r="A47" s="123">
        <v>0.40625</v>
      </c>
      <c r="B47" s="133">
        <f t="shared" si="0"/>
        <v>0</v>
      </c>
      <c r="D47" s="125"/>
      <c r="E47" s="123"/>
      <c r="F47" s="123">
        <v>0.45833333333333331</v>
      </c>
      <c r="G47" s="21">
        <f>E14</f>
        <v>0</v>
      </c>
      <c r="H47" s="22"/>
      <c r="I47" s="125"/>
      <c r="J47" s="123"/>
      <c r="K47" s="123">
        <v>0.45833333333333331</v>
      </c>
      <c r="L47" s="21">
        <f>J14</f>
        <v>0</v>
      </c>
      <c r="M47" s="22"/>
      <c r="N47" s="125"/>
      <c r="O47" s="123"/>
      <c r="P47" s="123">
        <v>0.45833333333333331</v>
      </c>
      <c r="Q47" s="21">
        <f>O14</f>
        <v>509.70300000000003</v>
      </c>
      <c r="R47" s="22"/>
      <c r="S47" s="125"/>
      <c r="T47" s="123"/>
      <c r="U47" s="123">
        <v>0.45833333333333331</v>
      </c>
      <c r="V47" s="21">
        <f>T14</f>
        <v>0</v>
      </c>
      <c r="W47" s="22"/>
      <c r="X47" s="125"/>
      <c r="Y47" s="123"/>
      <c r="Z47" s="123">
        <v>0.45833333333333331</v>
      </c>
      <c r="AA47" s="21">
        <f>Y14</f>
        <v>585.74400000000003</v>
      </c>
      <c r="AB47" s="22"/>
      <c r="AC47" s="125"/>
      <c r="AD47" s="123"/>
      <c r="AE47" s="123">
        <v>0.45833333333333331</v>
      </c>
      <c r="AF47" s="21">
        <f>AD14</f>
        <v>590.22500000000002</v>
      </c>
      <c r="AH47" s="125"/>
      <c r="AI47" s="123"/>
      <c r="AJ47" s="123">
        <v>0.45833333333333331</v>
      </c>
      <c r="AK47" s="21">
        <f>AI14</f>
        <v>0</v>
      </c>
      <c r="AM47" s="125"/>
      <c r="AN47" s="123"/>
      <c r="AO47" s="123">
        <v>0.45833333333333331</v>
      </c>
      <c r="AP47" s="21">
        <f>AN14</f>
        <v>0</v>
      </c>
    </row>
    <row r="48" spans="1:42" x14ac:dyDescent="0.3">
      <c r="A48" s="123">
        <v>0.41666666666666669</v>
      </c>
      <c r="B48" s="133">
        <f t="shared" si="0"/>
        <v>0</v>
      </c>
      <c r="D48" s="125"/>
      <c r="E48" s="123"/>
      <c r="F48" s="123">
        <v>0.46875</v>
      </c>
      <c r="G48" s="21">
        <f>E15</f>
        <v>0</v>
      </c>
      <c r="H48" s="22"/>
      <c r="I48" s="125"/>
      <c r="J48" s="123"/>
      <c r="K48" s="123">
        <v>0.46875</v>
      </c>
      <c r="L48" s="21">
        <f>J15</f>
        <v>0</v>
      </c>
      <c r="M48" s="22"/>
      <c r="N48" s="125"/>
      <c r="O48" s="123"/>
      <c r="P48" s="123">
        <v>0.46875</v>
      </c>
      <c r="Q48" s="21">
        <f>O15</f>
        <v>595.25099999999998</v>
      </c>
      <c r="R48" s="22"/>
      <c r="S48" s="125"/>
      <c r="T48" s="123"/>
      <c r="U48" s="123">
        <v>0.46875</v>
      </c>
      <c r="V48" s="21">
        <f>T15</f>
        <v>0</v>
      </c>
      <c r="W48" s="22"/>
      <c r="X48" s="125"/>
      <c r="Y48" s="123"/>
      <c r="Z48" s="123">
        <v>0.46875</v>
      </c>
      <c r="AA48" s="21">
        <f>Y15</f>
        <v>687.14</v>
      </c>
      <c r="AB48" s="22"/>
      <c r="AC48" s="125"/>
      <c r="AD48" s="123"/>
      <c r="AE48" s="123">
        <v>0.46875</v>
      </c>
      <c r="AF48" s="21">
        <f>AD15</f>
        <v>596.80999999999995</v>
      </c>
      <c r="AH48" s="125"/>
      <c r="AI48" s="123"/>
      <c r="AJ48" s="123">
        <v>0.46875</v>
      </c>
      <c r="AK48" s="21">
        <f>AI15</f>
        <v>0</v>
      </c>
      <c r="AM48" s="125"/>
      <c r="AN48" s="123"/>
      <c r="AO48" s="123">
        <v>0.46875</v>
      </c>
      <c r="AP48" s="21">
        <f>AN15</f>
        <v>0</v>
      </c>
    </row>
    <row r="49" spans="1:42" x14ac:dyDescent="0.3">
      <c r="A49" s="123">
        <v>0.42708333333333331</v>
      </c>
      <c r="B49" s="133">
        <f t="shared" si="0"/>
        <v>0</v>
      </c>
      <c r="D49" s="125"/>
      <c r="E49" s="123"/>
      <c r="F49" s="123">
        <v>0.47916666666666669</v>
      </c>
      <c r="G49" s="21">
        <f>E15</f>
        <v>0</v>
      </c>
      <c r="H49" s="22"/>
      <c r="I49" s="125"/>
      <c r="J49" s="123"/>
      <c r="K49" s="123">
        <v>0.47916666666666669</v>
      </c>
      <c r="L49" s="21">
        <f>J15</f>
        <v>0</v>
      </c>
      <c r="M49" s="22"/>
      <c r="N49" s="125"/>
      <c r="O49" s="123"/>
      <c r="P49" s="123">
        <v>0.47916666666666669</v>
      </c>
      <c r="Q49" s="21">
        <f>O15</f>
        <v>595.25099999999998</v>
      </c>
      <c r="R49" s="22"/>
      <c r="S49" s="125"/>
      <c r="T49" s="123"/>
      <c r="U49" s="123">
        <v>0.47916666666666669</v>
      </c>
      <c r="V49" s="21">
        <f>T15</f>
        <v>0</v>
      </c>
      <c r="W49" s="22"/>
      <c r="X49" s="125"/>
      <c r="Y49" s="123"/>
      <c r="Z49" s="123">
        <v>0.47916666666666669</v>
      </c>
      <c r="AA49" s="21">
        <f>Y15</f>
        <v>687.14</v>
      </c>
      <c r="AB49" s="22"/>
      <c r="AC49" s="125"/>
      <c r="AD49" s="123"/>
      <c r="AE49" s="123">
        <v>0.47916666666666669</v>
      </c>
      <c r="AF49" s="21">
        <f>AD15</f>
        <v>596.80999999999995</v>
      </c>
      <c r="AH49" s="125"/>
      <c r="AI49" s="123"/>
      <c r="AJ49" s="123">
        <v>0.47916666666666669</v>
      </c>
      <c r="AK49" s="21">
        <f>AI15</f>
        <v>0</v>
      </c>
      <c r="AM49" s="125"/>
      <c r="AN49" s="123"/>
      <c r="AO49" s="123">
        <v>0.47916666666666669</v>
      </c>
      <c r="AP49" s="21">
        <f>AN15</f>
        <v>0</v>
      </c>
    </row>
    <row r="50" spans="1:42" x14ac:dyDescent="0.3">
      <c r="A50" s="123">
        <v>0.4375</v>
      </c>
      <c r="B50" s="133">
        <f t="shared" si="0"/>
        <v>0</v>
      </c>
      <c r="D50" s="125"/>
      <c r="E50" s="123"/>
      <c r="F50" s="123">
        <v>0.48958333333333331</v>
      </c>
      <c r="G50" s="21">
        <f>E15</f>
        <v>0</v>
      </c>
      <c r="H50" s="22"/>
      <c r="I50" s="125"/>
      <c r="J50" s="123"/>
      <c r="K50" s="123">
        <v>0.48958333333333331</v>
      </c>
      <c r="L50" s="21">
        <f>J15</f>
        <v>0</v>
      </c>
      <c r="M50" s="22"/>
      <c r="N50" s="125"/>
      <c r="O50" s="123"/>
      <c r="P50" s="123">
        <v>0.48958333333333331</v>
      </c>
      <c r="Q50" s="21">
        <f>O15</f>
        <v>595.25099999999998</v>
      </c>
      <c r="R50" s="22"/>
      <c r="S50" s="125"/>
      <c r="T50" s="123"/>
      <c r="U50" s="123">
        <v>0.48958333333333331</v>
      </c>
      <c r="V50" s="21">
        <f>T15</f>
        <v>0</v>
      </c>
      <c r="W50" s="22"/>
      <c r="X50" s="125"/>
      <c r="Y50" s="123"/>
      <c r="Z50" s="123">
        <v>0.48958333333333331</v>
      </c>
      <c r="AA50" s="21">
        <f>Y15</f>
        <v>687.14</v>
      </c>
      <c r="AB50" s="22"/>
      <c r="AC50" s="125"/>
      <c r="AD50" s="123"/>
      <c r="AE50" s="123">
        <v>0.48958333333333331</v>
      </c>
      <c r="AF50" s="21">
        <f>AD15</f>
        <v>596.80999999999995</v>
      </c>
      <c r="AH50" s="125"/>
      <c r="AI50" s="123"/>
      <c r="AJ50" s="123">
        <v>0.48958333333333331</v>
      </c>
      <c r="AK50" s="21">
        <f>AI15</f>
        <v>0</v>
      </c>
      <c r="AM50" s="125"/>
      <c r="AN50" s="123"/>
      <c r="AO50" s="123">
        <v>0.48958333333333331</v>
      </c>
      <c r="AP50" s="21">
        <f>AN15</f>
        <v>0</v>
      </c>
    </row>
    <row r="51" spans="1:42" x14ac:dyDescent="0.3">
      <c r="A51" s="123">
        <v>0.44791666666666669</v>
      </c>
      <c r="B51" s="133">
        <f t="shared" si="0"/>
        <v>0</v>
      </c>
      <c r="D51" s="125"/>
      <c r="E51" s="123"/>
      <c r="F51" s="123">
        <v>0.5</v>
      </c>
      <c r="G51" s="21">
        <f>E15</f>
        <v>0</v>
      </c>
      <c r="H51" s="22"/>
      <c r="I51" s="125"/>
      <c r="J51" s="123"/>
      <c r="K51" s="123">
        <v>0.5</v>
      </c>
      <c r="L51" s="21">
        <f>J15</f>
        <v>0</v>
      </c>
      <c r="M51" s="22"/>
      <c r="N51" s="125"/>
      <c r="O51" s="123"/>
      <c r="P51" s="123">
        <v>0.5</v>
      </c>
      <c r="Q51" s="21">
        <f>O15</f>
        <v>595.25099999999998</v>
      </c>
      <c r="R51" s="22"/>
      <c r="S51" s="125"/>
      <c r="T51" s="123"/>
      <c r="U51" s="123">
        <v>0.5</v>
      </c>
      <c r="V51" s="21">
        <f>T15</f>
        <v>0</v>
      </c>
      <c r="W51" s="22"/>
      <c r="X51" s="125"/>
      <c r="Y51" s="123"/>
      <c r="Z51" s="123">
        <v>0.5</v>
      </c>
      <c r="AA51" s="21">
        <f>Y15</f>
        <v>687.14</v>
      </c>
      <c r="AB51" s="22"/>
      <c r="AC51" s="125"/>
      <c r="AD51" s="123"/>
      <c r="AE51" s="123">
        <v>0.5</v>
      </c>
      <c r="AF51" s="21">
        <f>AD15</f>
        <v>596.80999999999995</v>
      </c>
      <c r="AH51" s="125"/>
      <c r="AI51" s="123"/>
      <c r="AJ51" s="123">
        <v>0.5</v>
      </c>
      <c r="AK51" s="21">
        <f>AI15</f>
        <v>0</v>
      </c>
      <c r="AM51" s="125"/>
      <c r="AN51" s="123"/>
      <c r="AO51" s="123">
        <v>0.5</v>
      </c>
      <c r="AP51" s="21">
        <f>AN15</f>
        <v>0</v>
      </c>
    </row>
    <row r="52" spans="1:42" x14ac:dyDescent="0.3">
      <c r="A52" s="123">
        <v>0.45833333333333331</v>
      </c>
      <c r="B52" s="133">
        <f>IF($B$6&gt;0,IF($B$3=$D$2,G47*$B$6,IF($B$3=$I$2,L47*$B$6,IF($B$3=$N$2,Q47*$B$6,IF($B$3=$S$2,V47*$B$6,IF($B$3=$X$2,AA47*$B$6,IF($B$3=$AC$2,AF47*$B$6,IF($B$3=$AH$2,AK47*$B$6,IF($B$3=$AM$2,AP47*$B$6,0)))))))),0)</f>
        <v>0</v>
      </c>
      <c r="D52" s="125"/>
      <c r="E52" s="123"/>
      <c r="F52" s="123">
        <v>0.51041666666666663</v>
      </c>
      <c r="G52" s="21">
        <f>E16</f>
        <v>0</v>
      </c>
      <c r="H52" s="22"/>
      <c r="I52" s="125"/>
      <c r="J52" s="123"/>
      <c r="K52" s="123">
        <v>0.51041666666666663</v>
      </c>
      <c r="L52" s="21">
        <f>J16</f>
        <v>0</v>
      </c>
      <c r="M52" s="22"/>
      <c r="N52" s="125"/>
      <c r="O52" s="123"/>
      <c r="P52" s="123">
        <v>0.51041666666666663</v>
      </c>
      <c r="Q52" s="21">
        <f>O16</f>
        <v>596.88200000000006</v>
      </c>
      <c r="R52" s="22"/>
      <c r="S52" s="125"/>
      <c r="T52" s="123"/>
      <c r="U52" s="123">
        <v>0.51041666666666663</v>
      </c>
      <c r="V52" s="21">
        <f>T16</f>
        <v>0</v>
      </c>
      <c r="W52" s="22"/>
      <c r="X52" s="125"/>
      <c r="Y52" s="123"/>
      <c r="Z52" s="123">
        <v>0.51041666666666663</v>
      </c>
      <c r="AA52" s="21">
        <f>Y16</f>
        <v>739.61300000000006</v>
      </c>
      <c r="AB52" s="22"/>
      <c r="AC52" s="125"/>
      <c r="AD52" s="123"/>
      <c r="AE52" s="123">
        <v>0.51041666666666663</v>
      </c>
      <c r="AF52" s="21">
        <f>AD16</f>
        <v>707.81899999999996</v>
      </c>
      <c r="AH52" s="125"/>
      <c r="AI52" s="123"/>
      <c r="AJ52" s="123">
        <v>0.51041666666666663</v>
      </c>
      <c r="AK52" s="21">
        <f>AI16</f>
        <v>0</v>
      </c>
      <c r="AM52" s="125"/>
      <c r="AN52" s="123"/>
      <c r="AO52" s="123">
        <v>0.51041666666666663</v>
      </c>
      <c r="AP52" s="21">
        <f>AN16</f>
        <v>0</v>
      </c>
    </row>
    <row r="53" spans="1:42" x14ac:dyDescent="0.3">
      <c r="A53" s="123">
        <v>0.46875</v>
      </c>
      <c r="B53" s="133">
        <f t="shared" si="0"/>
        <v>0</v>
      </c>
      <c r="D53" s="125"/>
      <c r="E53" s="123"/>
      <c r="F53" s="123">
        <v>0.52083333333333337</v>
      </c>
      <c r="G53" s="21">
        <f>E16</f>
        <v>0</v>
      </c>
      <c r="H53" s="22"/>
      <c r="I53" s="125"/>
      <c r="J53" s="123"/>
      <c r="K53" s="123">
        <v>0.52083333333333337</v>
      </c>
      <c r="L53" s="21">
        <f>J16</f>
        <v>0</v>
      </c>
      <c r="M53" s="22"/>
      <c r="N53" s="125"/>
      <c r="O53" s="123"/>
      <c r="P53" s="123">
        <v>0.52083333333333337</v>
      </c>
      <c r="Q53" s="21">
        <f>O16</f>
        <v>596.88200000000006</v>
      </c>
      <c r="R53" s="22"/>
      <c r="S53" s="125"/>
      <c r="T53" s="123"/>
      <c r="U53" s="123">
        <v>0.52083333333333337</v>
      </c>
      <c r="V53" s="21">
        <f>T16</f>
        <v>0</v>
      </c>
      <c r="W53" s="22"/>
      <c r="X53" s="125"/>
      <c r="Y53" s="123"/>
      <c r="Z53" s="123">
        <v>0.52083333333333337</v>
      </c>
      <c r="AA53" s="21">
        <f>Y16</f>
        <v>739.61300000000006</v>
      </c>
      <c r="AB53" s="22"/>
      <c r="AC53" s="125"/>
      <c r="AD53" s="123"/>
      <c r="AE53" s="123">
        <v>0.52083333333333337</v>
      </c>
      <c r="AF53" s="21">
        <f>AD16</f>
        <v>707.81899999999996</v>
      </c>
      <c r="AH53" s="125"/>
      <c r="AI53" s="123"/>
      <c r="AJ53" s="123">
        <v>0.52083333333333337</v>
      </c>
      <c r="AK53" s="21">
        <f>AI16</f>
        <v>0</v>
      </c>
      <c r="AM53" s="125"/>
      <c r="AN53" s="123"/>
      <c r="AO53" s="123">
        <v>0.52083333333333337</v>
      </c>
      <c r="AP53" s="21">
        <f>AN16</f>
        <v>0</v>
      </c>
    </row>
    <row r="54" spans="1:42" x14ac:dyDescent="0.3">
      <c r="A54" s="123">
        <v>0.47916666666666669</v>
      </c>
      <c r="B54" s="133">
        <f>IF($B$6&gt;0,IF($B$3=$D$2,G49*$B$6,IF($B$3=$I$2,L49*$B$6,IF($B$3=$N$2,Q49*$B$6,IF($B$3=$S$2,V49*$B$6,IF($B$3=$X$2,AA49*$B$6,IF($B$3=$AC$2,AF49*$B$6,IF($B$3=$AH$2,AK49*$B$6,IF($B$3=$AM$2,AP49*$B$6,0)))))))),0)</f>
        <v>0</v>
      </c>
      <c r="D54" s="125"/>
      <c r="E54" s="123"/>
      <c r="F54" s="123">
        <v>0.53125</v>
      </c>
      <c r="G54" s="21">
        <f>E16</f>
        <v>0</v>
      </c>
      <c r="H54" s="22"/>
      <c r="I54" s="125"/>
      <c r="J54" s="123"/>
      <c r="K54" s="123">
        <v>0.53125</v>
      </c>
      <c r="L54" s="21">
        <f>J16</f>
        <v>0</v>
      </c>
      <c r="M54" s="22"/>
      <c r="N54" s="125"/>
      <c r="O54" s="123"/>
      <c r="P54" s="123">
        <v>0.53125</v>
      </c>
      <c r="Q54" s="21">
        <f>O16</f>
        <v>596.88200000000006</v>
      </c>
      <c r="R54" s="22"/>
      <c r="S54" s="125"/>
      <c r="T54" s="123"/>
      <c r="U54" s="123">
        <v>0.53125</v>
      </c>
      <c r="V54" s="21">
        <f>T16</f>
        <v>0</v>
      </c>
      <c r="W54" s="22"/>
      <c r="X54" s="125"/>
      <c r="Y54" s="123"/>
      <c r="Z54" s="123">
        <v>0.53125</v>
      </c>
      <c r="AA54" s="21">
        <f>Y16</f>
        <v>739.61300000000006</v>
      </c>
      <c r="AB54" s="22"/>
      <c r="AC54" s="125"/>
      <c r="AD54" s="123"/>
      <c r="AE54" s="123">
        <v>0.53125</v>
      </c>
      <c r="AF54" s="21">
        <f>AD16</f>
        <v>707.81899999999996</v>
      </c>
      <c r="AH54" s="125"/>
      <c r="AI54" s="123"/>
      <c r="AJ54" s="123">
        <v>0.53125</v>
      </c>
      <c r="AK54" s="21">
        <f>AI16</f>
        <v>0</v>
      </c>
      <c r="AM54" s="125"/>
      <c r="AN54" s="123"/>
      <c r="AO54" s="123">
        <v>0.53125</v>
      </c>
      <c r="AP54" s="21">
        <f>AN16</f>
        <v>0</v>
      </c>
    </row>
    <row r="55" spans="1:42" x14ac:dyDescent="0.3">
      <c r="A55" s="123">
        <v>0.48958333333333331</v>
      </c>
      <c r="B55" s="133">
        <f t="shared" si="0"/>
        <v>0</v>
      </c>
      <c r="D55" s="125"/>
      <c r="E55" s="123"/>
      <c r="F55" s="123">
        <v>0.54166666666666663</v>
      </c>
      <c r="G55" s="21">
        <f>E16</f>
        <v>0</v>
      </c>
      <c r="H55" s="22"/>
      <c r="I55" s="125"/>
      <c r="J55" s="123"/>
      <c r="K55" s="123">
        <v>0.54166666666666663</v>
      </c>
      <c r="L55" s="21">
        <f>J16</f>
        <v>0</v>
      </c>
      <c r="M55" s="22"/>
      <c r="N55" s="125"/>
      <c r="O55" s="123"/>
      <c r="P55" s="123">
        <v>0.54166666666666663</v>
      </c>
      <c r="Q55" s="21">
        <f>O16</f>
        <v>596.88200000000006</v>
      </c>
      <c r="R55" s="22"/>
      <c r="S55" s="125"/>
      <c r="T55" s="123"/>
      <c r="U55" s="123">
        <v>0.54166666666666663</v>
      </c>
      <c r="V55" s="21">
        <f>T16</f>
        <v>0</v>
      </c>
      <c r="W55" s="22"/>
      <c r="X55" s="125"/>
      <c r="Y55" s="123"/>
      <c r="Z55" s="123">
        <v>0.54166666666666663</v>
      </c>
      <c r="AA55" s="21">
        <f>Y16</f>
        <v>739.61300000000006</v>
      </c>
      <c r="AB55" s="22"/>
      <c r="AC55" s="125"/>
      <c r="AD55" s="123"/>
      <c r="AE55" s="123">
        <v>0.54166666666666663</v>
      </c>
      <c r="AF55" s="21">
        <f>AD16</f>
        <v>707.81899999999996</v>
      </c>
      <c r="AH55" s="125"/>
      <c r="AI55" s="123"/>
      <c r="AJ55" s="123">
        <v>0.54166666666666663</v>
      </c>
      <c r="AK55" s="21">
        <f>AI16</f>
        <v>0</v>
      </c>
      <c r="AM55" s="125"/>
      <c r="AN55" s="123"/>
      <c r="AO55" s="123">
        <v>0.54166666666666663</v>
      </c>
      <c r="AP55" s="21">
        <f>AN16</f>
        <v>0</v>
      </c>
    </row>
    <row r="56" spans="1:42" x14ac:dyDescent="0.3">
      <c r="A56" s="123">
        <v>0.5</v>
      </c>
      <c r="B56" s="133">
        <f>IF($B$6&gt;0,IF($B$3=$D$2,G51*$B$6,IF($B$3=$I$2,L51*$B$6,IF($B$3=$N$2,Q51*$B$6,IF($B$3=$S$2,V51*$B$6,IF($B$3=$X$2,AA51*$B$6,IF($B$3=$AC$2,AF51*$B$6,IF($B$3=$AH$2,AK51*$B$6,IF($B$3=$AM$2,AP51*$B$6,0)))))))),0)</f>
        <v>0</v>
      </c>
      <c r="D56" s="125"/>
      <c r="E56" s="123"/>
      <c r="F56" s="123">
        <v>0.55208333333333337</v>
      </c>
      <c r="G56" s="21">
        <f>E17</f>
        <v>0</v>
      </c>
      <c r="H56" s="22"/>
      <c r="I56" s="125"/>
      <c r="J56" s="123"/>
      <c r="K56" s="123">
        <v>0.55208333333333337</v>
      </c>
      <c r="L56" s="21">
        <f>J17</f>
        <v>0</v>
      </c>
      <c r="M56" s="22"/>
      <c r="N56" s="125"/>
      <c r="O56" s="123"/>
      <c r="P56" s="123">
        <v>0.55208333333333337</v>
      </c>
      <c r="Q56" s="21">
        <f>O17</f>
        <v>679.149</v>
      </c>
      <c r="R56" s="22"/>
      <c r="S56" s="125"/>
      <c r="T56" s="123"/>
      <c r="U56" s="123">
        <v>0.55208333333333337</v>
      </c>
      <c r="V56" s="21">
        <f>T17</f>
        <v>0</v>
      </c>
      <c r="W56" s="22"/>
      <c r="X56" s="125"/>
      <c r="Y56" s="123"/>
      <c r="Z56" s="123">
        <v>0.55208333333333337</v>
      </c>
      <c r="AA56" s="21">
        <f>Y17</f>
        <v>745.57100000000003</v>
      </c>
      <c r="AB56" s="22"/>
      <c r="AC56" s="125"/>
      <c r="AD56" s="123"/>
      <c r="AE56" s="123">
        <v>0.55208333333333337</v>
      </c>
      <c r="AF56" s="21">
        <f>AD17</f>
        <v>695.18200000000002</v>
      </c>
      <c r="AH56" s="125"/>
      <c r="AI56" s="123"/>
      <c r="AJ56" s="123">
        <v>0.55208333333333337</v>
      </c>
      <c r="AK56" s="21">
        <f>AI17</f>
        <v>0</v>
      </c>
      <c r="AM56" s="125"/>
      <c r="AN56" s="123"/>
      <c r="AO56" s="123">
        <v>0.55208333333333337</v>
      </c>
      <c r="AP56" s="21">
        <f>AN17</f>
        <v>0</v>
      </c>
    </row>
    <row r="57" spans="1:42" x14ac:dyDescent="0.3">
      <c r="A57" s="123">
        <v>0.51041666666666663</v>
      </c>
      <c r="B57" s="133">
        <f t="shared" si="0"/>
        <v>0</v>
      </c>
      <c r="D57" s="125"/>
      <c r="E57" s="123"/>
      <c r="F57" s="123">
        <v>0.5625</v>
      </c>
      <c r="G57" s="21">
        <f>E17</f>
        <v>0</v>
      </c>
      <c r="H57" s="22"/>
      <c r="I57" s="125"/>
      <c r="J57" s="123"/>
      <c r="K57" s="123">
        <v>0.5625</v>
      </c>
      <c r="L57" s="21">
        <f>J17</f>
        <v>0</v>
      </c>
      <c r="M57" s="22"/>
      <c r="N57" s="125"/>
      <c r="O57" s="123"/>
      <c r="P57" s="123">
        <v>0.5625</v>
      </c>
      <c r="Q57" s="21">
        <f>O17</f>
        <v>679.149</v>
      </c>
      <c r="R57" s="22"/>
      <c r="S57" s="125"/>
      <c r="T57" s="123"/>
      <c r="U57" s="123">
        <v>0.5625</v>
      </c>
      <c r="V57" s="21">
        <f>T17</f>
        <v>0</v>
      </c>
      <c r="W57" s="22"/>
      <c r="X57" s="125"/>
      <c r="Y57" s="123"/>
      <c r="Z57" s="123">
        <v>0.5625</v>
      </c>
      <c r="AA57" s="21">
        <f>Y17</f>
        <v>745.57100000000003</v>
      </c>
      <c r="AB57" s="22"/>
      <c r="AC57" s="125"/>
      <c r="AD57" s="123"/>
      <c r="AE57" s="123">
        <v>0.5625</v>
      </c>
      <c r="AF57" s="21">
        <f>AD17</f>
        <v>695.18200000000002</v>
      </c>
      <c r="AH57" s="125"/>
      <c r="AI57" s="123"/>
      <c r="AJ57" s="123">
        <v>0.5625</v>
      </c>
      <c r="AK57" s="21">
        <f>AI17</f>
        <v>0</v>
      </c>
      <c r="AM57" s="125"/>
      <c r="AN57" s="123"/>
      <c r="AO57" s="123">
        <v>0.5625</v>
      </c>
      <c r="AP57" s="21">
        <f>AN17</f>
        <v>0</v>
      </c>
    </row>
    <row r="58" spans="1:42" x14ac:dyDescent="0.3">
      <c r="A58" s="123">
        <v>0.52083333333333337</v>
      </c>
      <c r="B58" s="133">
        <f>IF($B$6&gt;0,IF($B$3=$D$2,G53*$B$6,IF($B$3=$I$2,L53*$B$6,IF($B$3=$N$2,Q53*$B$6,IF($B$3=$S$2,V53*$B$6,IF($B$3=$X$2,AA53*$B$6,IF($B$3=$AC$2,AF53*$B$6,IF($B$3=$AH$2,AK53*$B$6,IF($B$3=$AM$2,AP53*$B$6,0)))))))),0)</f>
        <v>0</v>
      </c>
      <c r="D58" s="125"/>
      <c r="E58" s="123"/>
      <c r="F58" s="123">
        <v>0.57291666666666663</v>
      </c>
      <c r="G58" s="21">
        <f>E17</f>
        <v>0</v>
      </c>
      <c r="H58" s="22"/>
      <c r="I58" s="125"/>
      <c r="J58" s="123"/>
      <c r="K58" s="123">
        <v>0.57291666666666663</v>
      </c>
      <c r="L58" s="21">
        <f>J17</f>
        <v>0</v>
      </c>
      <c r="M58" s="22"/>
      <c r="N58" s="125"/>
      <c r="O58" s="123"/>
      <c r="P58" s="123">
        <v>0.57291666666666663</v>
      </c>
      <c r="Q58" s="21">
        <f>O17</f>
        <v>679.149</v>
      </c>
      <c r="R58" s="22"/>
      <c r="S58" s="125"/>
      <c r="T58" s="123"/>
      <c r="U58" s="123">
        <v>0.57291666666666663</v>
      </c>
      <c r="V58" s="21">
        <f>T17</f>
        <v>0</v>
      </c>
      <c r="W58" s="22"/>
      <c r="X58" s="125"/>
      <c r="Y58" s="123"/>
      <c r="Z58" s="123">
        <v>0.57291666666666663</v>
      </c>
      <c r="AA58" s="21">
        <f>Y17</f>
        <v>745.57100000000003</v>
      </c>
      <c r="AB58" s="22"/>
      <c r="AC58" s="125"/>
      <c r="AD58" s="123"/>
      <c r="AE58" s="123">
        <v>0.57291666666666663</v>
      </c>
      <c r="AF58" s="21">
        <f>AD17</f>
        <v>695.18200000000002</v>
      </c>
      <c r="AH58" s="125"/>
      <c r="AI58" s="123"/>
      <c r="AJ58" s="123">
        <v>0.57291666666666663</v>
      </c>
      <c r="AK58" s="21">
        <f>AI17</f>
        <v>0</v>
      </c>
      <c r="AM58" s="125"/>
      <c r="AN58" s="123"/>
      <c r="AO58" s="123">
        <v>0.57291666666666663</v>
      </c>
      <c r="AP58" s="21">
        <f>AN17</f>
        <v>0</v>
      </c>
    </row>
    <row r="59" spans="1:42" x14ac:dyDescent="0.3">
      <c r="A59" s="123">
        <v>0.53125</v>
      </c>
      <c r="B59" s="133">
        <f t="shared" si="0"/>
        <v>0</v>
      </c>
      <c r="D59" s="125"/>
      <c r="E59" s="123"/>
      <c r="F59" s="123">
        <v>0.58333333333333337</v>
      </c>
      <c r="G59" s="21">
        <f>E17</f>
        <v>0</v>
      </c>
      <c r="H59" s="22"/>
      <c r="I59" s="125"/>
      <c r="J59" s="123"/>
      <c r="K59" s="123">
        <v>0.58333333333333337</v>
      </c>
      <c r="L59" s="21">
        <f>J17</f>
        <v>0</v>
      </c>
      <c r="M59" s="22"/>
      <c r="N59" s="125"/>
      <c r="O59" s="123"/>
      <c r="P59" s="123">
        <v>0.58333333333333337</v>
      </c>
      <c r="Q59" s="21">
        <f>O17</f>
        <v>679.149</v>
      </c>
      <c r="R59" s="22"/>
      <c r="S59" s="125"/>
      <c r="T59" s="123"/>
      <c r="U59" s="123">
        <v>0.58333333333333337</v>
      </c>
      <c r="V59" s="21">
        <f>T17</f>
        <v>0</v>
      </c>
      <c r="W59" s="22"/>
      <c r="X59" s="125"/>
      <c r="Y59" s="123"/>
      <c r="Z59" s="123">
        <v>0.58333333333333337</v>
      </c>
      <c r="AA59" s="21">
        <f>Y17</f>
        <v>745.57100000000003</v>
      </c>
      <c r="AB59" s="22"/>
      <c r="AC59" s="125"/>
      <c r="AD59" s="123"/>
      <c r="AE59" s="123">
        <v>0.58333333333333337</v>
      </c>
      <c r="AF59" s="21">
        <f>AD17</f>
        <v>695.18200000000002</v>
      </c>
      <c r="AH59" s="125"/>
      <c r="AI59" s="123"/>
      <c r="AJ59" s="123">
        <v>0.58333333333333337</v>
      </c>
      <c r="AK59" s="21">
        <f>AI17</f>
        <v>0</v>
      </c>
      <c r="AM59" s="125"/>
      <c r="AN59" s="123"/>
      <c r="AO59" s="123">
        <v>0.58333333333333337</v>
      </c>
      <c r="AP59" s="21">
        <f>AN17</f>
        <v>0</v>
      </c>
    </row>
    <row r="60" spans="1:42" x14ac:dyDescent="0.3">
      <c r="A60" s="123">
        <v>0.54166666666666663</v>
      </c>
      <c r="B60" s="133">
        <f t="shared" si="0"/>
        <v>0</v>
      </c>
      <c r="D60" s="125"/>
      <c r="E60" s="123"/>
      <c r="F60" s="123">
        <v>0.59375</v>
      </c>
      <c r="G60" s="21">
        <f>E18</f>
        <v>0</v>
      </c>
      <c r="H60" s="22"/>
      <c r="I60" s="125"/>
      <c r="J60" s="123"/>
      <c r="K60" s="123">
        <v>0.59375</v>
      </c>
      <c r="L60" s="21">
        <f>J18</f>
        <v>0</v>
      </c>
      <c r="M60" s="22"/>
      <c r="N60" s="125"/>
      <c r="O60" s="123"/>
      <c r="P60" s="123">
        <v>0.59375</v>
      </c>
      <c r="Q60" s="21">
        <f>O18</f>
        <v>656.44200000000001</v>
      </c>
      <c r="R60" s="22"/>
      <c r="S60" s="125"/>
      <c r="T60" s="123"/>
      <c r="U60" s="123">
        <v>0.59375</v>
      </c>
      <c r="V60" s="21">
        <f>T18</f>
        <v>0</v>
      </c>
      <c r="W60" s="22"/>
      <c r="X60" s="125"/>
      <c r="Y60" s="123"/>
      <c r="Z60" s="123">
        <v>0.59375</v>
      </c>
      <c r="AA60" s="21">
        <f>Y18</f>
        <v>677.41399999999999</v>
      </c>
      <c r="AB60" s="22"/>
      <c r="AC60" s="125"/>
      <c r="AD60" s="123"/>
      <c r="AE60" s="123">
        <v>0.59375</v>
      </c>
      <c r="AF60" s="21">
        <f>AD18</f>
        <v>646.83699999999999</v>
      </c>
      <c r="AH60" s="125"/>
      <c r="AI60" s="123"/>
      <c r="AJ60" s="123">
        <v>0.59375</v>
      </c>
      <c r="AK60" s="21">
        <f>AI18</f>
        <v>0</v>
      </c>
      <c r="AM60" s="125"/>
      <c r="AN60" s="123"/>
      <c r="AO60" s="123">
        <v>0.59375</v>
      </c>
      <c r="AP60" s="21">
        <f>AN18</f>
        <v>0</v>
      </c>
    </row>
    <row r="61" spans="1:42" x14ac:dyDescent="0.3">
      <c r="A61" s="123">
        <v>0.55208333333333337</v>
      </c>
      <c r="B61" s="133">
        <f t="shared" si="0"/>
        <v>0</v>
      </c>
      <c r="D61" s="125"/>
      <c r="E61" s="123"/>
      <c r="F61" s="123">
        <v>0.60416666666666663</v>
      </c>
      <c r="G61" s="21">
        <f>E18</f>
        <v>0</v>
      </c>
      <c r="H61" s="22"/>
      <c r="I61" s="125"/>
      <c r="J61" s="123"/>
      <c r="K61" s="123">
        <v>0.60416666666666663</v>
      </c>
      <c r="L61" s="21">
        <f>J18</f>
        <v>0</v>
      </c>
      <c r="M61" s="22"/>
      <c r="N61" s="125"/>
      <c r="O61" s="123"/>
      <c r="P61" s="123">
        <v>0.60416666666666663</v>
      </c>
      <c r="Q61" s="21">
        <f>O18</f>
        <v>656.44200000000001</v>
      </c>
      <c r="R61" s="22"/>
      <c r="S61" s="125"/>
      <c r="T61" s="123"/>
      <c r="U61" s="123">
        <v>0.60416666666666663</v>
      </c>
      <c r="V61" s="21">
        <f>T18</f>
        <v>0</v>
      </c>
      <c r="W61" s="22"/>
      <c r="X61" s="125"/>
      <c r="Y61" s="123"/>
      <c r="Z61" s="123">
        <v>0.60416666666666663</v>
      </c>
      <c r="AA61" s="21">
        <f>Y18</f>
        <v>677.41399999999999</v>
      </c>
      <c r="AB61" s="22"/>
      <c r="AC61" s="125"/>
      <c r="AD61" s="123"/>
      <c r="AE61" s="123">
        <v>0.60416666666666663</v>
      </c>
      <c r="AF61" s="21">
        <f>AD18</f>
        <v>646.83699999999999</v>
      </c>
      <c r="AH61" s="125"/>
      <c r="AI61" s="123"/>
      <c r="AJ61" s="123">
        <v>0.60416666666666663</v>
      </c>
      <c r="AK61" s="21">
        <f>AI18</f>
        <v>0</v>
      </c>
      <c r="AM61" s="125"/>
      <c r="AN61" s="123"/>
      <c r="AO61" s="123">
        <v>0.60416666666666663</v>
      </c>
      <c r="AP61" s="21">
        <f>AN18</f>
        <v>0</v>
      </c>
    </row>
    <row r="62" spans="1:42" x14ac:dyDescent="0.3">
      <c r="A62" s="123">
        <v>0.5625</v>
      </c>
      <c r="B62" s="133">
        <f t="shared" si="0"/>
        <v>0</v>
      </c>
      <c r="D62" s="125"/>
      <c r="E62" s="123"/>
      <c r="F62" s="123">
        <v>0.61458333333333337</v>
      </c>
      <c r="G62" s="21">
        <f>E18</f>
        <v>0</v>
      </c>
      <c r="H62" s="22"/>
      <c r="I62" s="125"/>
      <c r="J62" s="123"/>
      <c r="K62" s="123">
        <v>0.61458333333333337</v>
      </c>
      <c r="L62" s="21">
        <f>J18</f>
        <v>0</v>
      </c>
      <c r="M62" s="22"/>
      <c r="N62" s="125"/>
      <c r="O62" s="123"/>
      <c r="P62" s="123">
        <v>0.61458333333333337</v>
      </c>
      <c r="Q62" s="21">
        <f>O18</f>
        <v>656.44200000000001</v>
      </c>
      <c r="R62" s="22"/>
      <c r="S62" s="125"/>
      <c r="T62" s="123"/>
      <c r="U62" s="123">
        <v>0.61458333333333337</v>
      </c>
      <c r="V62" s="21">
        <f>T18</f>
        <v>0</v>
      </c>
      <c r="W62" s="22"/>
      <c r="X62" s="125"/>
      <c r="Y62" s="123"/>
      <c r="Z62" s="123">
        <v>0.61458333333333337</v>
      </c>
      <c r="AA62" s="21">
        <f>Y18</f>
        <v>677.41399999999999</v>
      </c>
      <c r="AB62" s="22"/>
      <c r="AC62" s="125"/>
      <c r="AD62" s="123"/>
      <c r="AE62" s="123">
        <v>0.61458333333333337</v>
      </c>
      <c r="AF62" s="21">
        <f>AD18</f>
        <v>646.83699999999999</v>
      </c>
      <c r="AH62" s="125"/>
      <c r="AI62" s="123"/>
      <c r="AJ62" s="123">
        <v>0.61458333333333337</v>
      </c>
      <c r="AK62" s="21">
        <f>AI18</f>
        <v>0</v>
      </c>
      <c r="AM62" s="125"/>
      <c r="AN62" s="123"/>
      <c r="AO62" s="123">
        <v>0.61458333333333337</v>
      </c>
      <c r="AP62" s="21">
        <f>AN18</f>
        <v>0</v>
      </c>
    </row>
    <row r="63" spans="1:42" x14ac:dyDescent="0.3">
      <c r="A63" s="123">
        <v>0.57291666666666663</v>
      </c>
      <c r="B63" s="133">
        <f t="shared" si="0"/>
        <v>0</v>
      </c>
      <c r="D63" s="125"/>
      <c r="E63" s="123"/>
      <c r="F63" s="123">
        <v>0.625</v>
      </c>
      <c r="G63" s="21">
        <f>E18</f>
        <v>0</v>
      </c>
      <c r="H63" s="22"/>
      <c r="I63" s="125"/>
      <c r="J63" s="123"/>
      <c r="K63" s="123">
        <v>0.625</v>
      </c>
      <c r="L63" s="21">
        <f>J18</f>
        <v>0</v>
      </c>
      <c r="M63" s="22"/>
      <c r="N63" s="125"/>
      <c r="O63" s="123"/>
      <c r="P63" s="123">
        <v>0.625</v>
      </c>
      <c r="Q63" s="21">
        <f>O18</f>
        <v>656.44200000000001</v>
      </c>
      <c r="R63" s="22"/>
      <c r="S63" s="125"/>
      <c r="T63" s="123"/>
      <c r="U63" s="123">
        <v>0.625</v>
      </c>
      <c r="V63" s="21">
        <f>T18</f>
        <v>0</v>
      </c>
      <c r="W63" s="22"/>
      <c r="X63" s="125"/>
      <c r="Y63" s="123"/>
      <c r="Z63" s="123">
        <v>0.625</v>
      </c>
      <c r="AA63" s="21">
        <f>Y18</f>
        <v>677.41399999999999</v>
      </c>
      <c r="AB63" s="22"/>
      <c r="AC63" s="125"/>
      <c r="AD63" s="123"/>
      <c r="AE63" s="123">
        <v>0.625</v>
      </c>
      <c r="AF63" s="21">
        <f>AD18</f>
        <v>646.83699999999999</v>
      </c>
      <c r="AH63" s="125"/>
      <c r="AI63" s="123"/>
      <c r="AJ63" s="123">
        <v>0.625</v>
      </c>
      <c r="AK63" s="21">
        <f>AI18</f>
        <v>0</v>
      </c>
      <c r="AM63" s="125"/>
      <c r="AN63" s="123"/>
      <c r="AO63" s="123">
        <v>0.625</v>
      </c>
      <c r="AP63" s="21">
        <f>AN18</f>
        <v>0</v>
      </c>
    </row>
    <row r="64" spans="1:42" x14ac:dyDescent="0.3">
      <c r="A64" s="123">
        <v>0.58333333333333337</v>
      </c>
      <c r="B64" s="133">
        <f t="shared" si="0"/>
        <v>0</v>
      </c>
      <c r="D64" s="125"/>
      <c r="E64" s="123"/>
      <c r="F64" s="123">
        <v>0.63541666666666663</v>
      </c>
      <c r="G64" s="21">
        <f>E19</f>
        <v>0</v>
      </c>
      <c r="H64" s="22"/>
      <c r="I64" s="125"/>
      <c r="J64" s="123"/>
      <c r="K64" s="123">
        <v>0.63541666666666663</v>
      </c>
      <c r="L64" s="21">
        <f>J19</f>
        <v>0</v>
      </c>
      <c r="M64" s="22"/>
      <c r="N64" s="125"/>
      <c r="O64" s="123"/>
      <c r="P64" s="123">
        <v>0.63541666666666663</v>
      </c>
      <c r="Q64" s="21">
        <f>O19</f>
        <v>554.33500000000004</v>
      </c>
      <c r="R64" s="22"/>
      <c r="S64" s="125"/>
      <c r="T64" s="123"/>
      <c r="U64" s="123">
        <v>0.63541666666666663</v>
      </c>
      <c r="V64" s="21">
        <f>T19</f>
        <v>0</v>
      </c>
      <c r="W64" s="22"/>
      <c r="X64" s="125"/>
      <c r="Y64" s="123"/>
      <c r="Z64" s="123">
        <v>0.63541666666666663</v>
      </c>
      <c r="AA64" s="21">
        <f>Y19</f>
        <v>552.79999999999995</v>
      </c>
      <c r="AB64" s="22"/>
      <c r="AC64" s="125"/>
      <c r="AD64" s="123"/>
      <c r="AE64" s="123">
        <v>0.63541666666666663</v>
      </c>
      <c r="AF64" s="21">
        <f>AD19</f>
        <v>561.43499999999995</v>
      </c>
      <c r="AH64" s="125"/>
      <c r="AI64" s="123"/>
      <c r="AJ64" s="123">
        <v>0.63541666666666663</v>
      </c>
      <c r="AK64" s="21">
        <f>AI19</f>
        <v>0</v>
      </c>
      <c r="AM64" s="125"/>
      <c r="AN64" s="123"/>
      <c r="AO64" s="123">
        <v>0.63541666666666663</v>
      </c>
      <c r="AP64" s="21">
        <f>AN19</f>
        <v>0</v>
      </c>
    </row>
    <row r="65" spans="1:42" x14ac:dyDescent="0.3">
      <c r="A65" s="123">
        <v>0.59375</v>
      </c>
      <c r="B65" s="133">
        <f t="shared" si="0"/>
        <v>0</v>
      </c>
      <c r="D65" s="125"/>
      <c r="E65" s="123"/>
      <c r="F65" s="123">
        <v>0.64583333333333337</v>
      </c>
      <c r="G65" s="21">
        <f>E19</f>
        <v>0</v>
      </c>
      <c r="H65" s="22"/>
      <c r="I65" s="125"/>
      <c r="J65" s="123"/>
      <c r="K65" s="123">
        <v>0.64583333333333337</v>
      </c>
      <c r="L65" s="21">
        <f>J19</f>
        <v>0</v>
      </c>
      <c r="M65" s="22"/>
      <c r="N65" s="125"/>
      <c r="O65" s="123"/>
      <c r="P65" s="123">
        <v>0.64583333333333337</v>
      </c>
      <c r="Q65" s="21">
        <f>O19</f>
        <v>554.33500000000004</v>
      </c>
      <c r="R65" s="22"/>
      <c r="S65" s="125"/>
      <c r="T65" s="123"/>
      <c r="U65" s="123">
        <v>0.64583333333333337</v>
      </c>
      <c r="V65" s="21">
        <f>T19</f>
        <v>0</v>
      </c>
      <c r="W65" s="22"/>
      <c r="X65" s="125"/>
      <c r="Y65" s="123"/>
      <c r="Z65" s="123">
        <v>0.64583333333333337</v>
      </c>
      <c r="AA65" s="21">
        <f>Y19</f>
        <v>552.79999999999995</v>
      </c>
      <c r="AB65" s="22"/>
      <c r="AC65" s="125"/>
      <c r="AD65" s="123"/>
      <c r="AE65" s="123">
        <v>0.64583333333333337</v>
      </c>
      <c r="AF65" s="21">
        <f>AD19</f>
        <v>561.43499999999995</v>
      </c>
      <c r="AH65" s="125"/>
      <c r="AI65" s="123"/>
      <c r="AJ65" s="123">
        <v>0.64583333333333337</v>
      </c>
      <c r="AK65" s="21">
        <f>AI19</f>
        <v>0</v>
      </c>
      <c r="AM65" s="125"/>
      <c r="AN65" s="123"/>
      <c r="AO65" s="123">
        <v>0.64583333333333337</v>
      </c>
      <c r="AP65" s="21">
        <f>AN19</f>
        <v>0</v>
      </c>
    </row>
    <row r="66" spans="1:42" x14ac:dyDescent="0.3">
      <c r="A66" s="123">
        <v>0.60416666666666663</v>
      </c>
      <c r="B66" s="133">
        <f t="shared" si="0"/>
        <v>0</v>
      </c>
      <c r="D66" s="125"/>
      <c r="E66" s="123"/>
      <c r="F66" s="123">
        <v>0.65625</v>
      </c>
      <c r="G66" s="21">
        <f>E19</f>
        <v>0</v>
      </c>
      <c r="H66" s="22"/>
      <c r="I66" s="125"/>
      <c r="J66" s="123"/>
      <c r="K66" s="123">
        <v>0.65625</v>
      </c>
      <c r="L66" s="21">
        <f>J19</f>
        <v>0</v>
      </c>
      <c r="M66" s="22"/>
      <c r="N66" s="125"/>
      <c r="O66" s="123"/>
      <c r="P66" s="123">
        <v>0.65625</v>
      </c>
      <c r="Q66" s="21">
        <f>O19</f>
        <v>554.33500000000004</v>
      </c>
      <c r="R66" s="22"/>
      <c r="S66" s="125"/>
      <c r="T66" s="123"/>
      <c r="U66" s="123">
        <v>0.65625</v>
      </c>
      <c r="V66" s="21">
        <f>T19</f>
        <v>0</v>
      </c>
      <c r="W66" s="22"/>
      <c r="X66" s="125"/>
      <c r="Y66" s="123"/>
      <c r="Z66" s="123">
        <v>0.65625</v>
      </c>
      <c r="AA66" s="21">
        <f>Y19</f>
        <v>552.79999999999995</v>
      </c>
      <c r="AB66" s="22"/>
      <c r="AC66" s="125"/>
      <c r="AD66" s="123"/>
      <c r="AE66" s="123">
        <v>0.65625</v>
      </c>
      <c r="AF66" s="21">
        <f>AD19</f>
        <v>561.43499999999995</v>
      </c>
      <c r="AH66" s="125"/>
      <c r="AI66" s="123"/>
      <c r="AJ66" s="123">
        <v>0.65625</v>
      </c>
      <c r="AK66" s="21">
        <f>AI19</f>
        <v>0</v>
      </c>
      <c r="AM66" s="125"/>
      <c r="AN66" s="123"/>
      <c r="AO66" s="123">
        <v>0.65625</v>
      </c>
      <c r="AP66" s="21">
        <f>AN19</f>
        <v>0</v>
      </c>
    </row>
    <row r="67" spans="1:42" x14ac:dyDescent="0.3">
      <c r="A67" s="123">
        <v>0.61458333333333337</v>
      </c>
      <c r="B67" s="133">
        <f t="shared" si="0"/>
        <v>0</v>
      </c>
      <c r="D67" s="125"/>
      <c r="E67" s="123"/>
      <c r="F67" s="123">
        <v>0.66666666666666663</v>
      </c>
      <c r="G67" s="21">
        <f>E19</f>
        <v>0</v>
      </c>
      <c r="H67" s="22"/>
      <c r="I67" s="125"/>
      <c r="J67" s="123"/>
      <c r="K67" s="123">
        <v>0.66666666666666663</v>
      </c>
      <c r="L67" s="21">
        <f>J19</f>
        <v>0</v>
      </c>
      <c r="M67" s="22"/>
      <c r="N67" s="125"/>
      <c r="O67" s="123"/>
      <c r="P67" s="123">
        <v>0.66666666666666663</v>
      </c>
      <c r="Q67" s="21">
        <f>O19</f>
        <v>554.33500000000004</v>
      </c>
      <c r="R67" s="22"/>
      <c r="S67" s="125"/>
      <c r="T67" s="123"/>
      <c r="U67" s="123">
        <v>0.66666666666666663</v>
      </c>
      <c r="V67" s="21">
        <f>T19</f>
        <v>0</v>
      </c>
      <c r="W67" s="22"/>
      <c r="X67" s="125"/>
      <c r="Y67" s="123"/>
      <c r="Z67" s="123">
        <v>0.66666666666666663</v>
      </c>
      <c r="AA67" s="21">
        <f>Y19</f>
        <v>552.79999999999995</v>
      </c>
      <c r="AB67" s="22"/>
      <c r="AC67" s="125"/>
      <c r="AD67" s="123"/>
      <c r="AE67" s="123">
        <v>0.66666666666666663</v>
      </c>
      <c r="AF67" s="21">
        <f>AD19</f>
        <v>561.43499999999995</v>
      </c>
      <c r="AH67" s="125"/>
      <c r="AI67" s="123"/>
      <c r="AJ67" s="123">
        <v>0.66666666666666663</v>
      </c>
      <c r="AK67" s="21">
        <f>AI19</f>
        <v>0</v>
      </c>
      <c r="AM67" s="125"/>
      <c r="AN67" s="123"/>
      <c r="AO67" s="123">
        <v>0.66666666666666663</v>
      </c>
      <c r="AP67" s="21">
        <f>AN19</f>
        <v>0</v>
      </c>
    </row>
    <row r="68" spans="1:42" x14ac:dyDescent="0.3">
      <c r="A68" s="123">
        <v>0.625</v>
      </c>
      <c r="B68" s="133">
        <f t="shared" si="0"/>
        <v>0</v>
      </c>
      <c r="D68" s="125"/>
      <c r="E68" s="123"/>
      <c r="F68" s="123">
        <v>0.67708333333333337</v>
      </c>
      <c r="G68" s="21">
        <f>E20</f>
        <v>0</v>
      </c>
      <c r="H68" s="22"/>
      <c r="I68" s="125"/>
      <c r="J68" s="123"/>
      <c r="K68" s="123">
        <v>0.67708333333333337</v>
      </c>
      <c r="L68" s="21">
        <f>J20</f>
        <v>0</v>
      </c>
      <c r="M68" s="22"/>
      <c r="N68" s="125"/>
      <c r="O68" s="123"/>
      <c r="P68" s="123">
        <v>0.67708333333333337</v>
      </c>
      <c r="Q68" s="21">
        <f>O20</f>
        <v>426.64099999999996</v>
      </c>
      <c r="R68" s="22"/>
      <c r="S68" s="125"/>
      <c r="T68" s="123"/>
      <c r="U68" s="123">
        <v>0.67708333333333337</v>
      </c>
      <c r="V68" s="21">
        <f>T20</f>
        <v>0</v>
      </c>
      <c r="W68" s="22"/>
      <c r="X68" s="125"/>
      <c r="Y68" s="123"/>
      <c r="Z68" s="123">
        <v>0.67708333333333337</v>
      </c>
      <c r="AA68" s="21">
        <f>Y20</f>
        <v>361.16300000000001</v>
      </c>
      <c r="AB68" s="22"/>
      <c r="AC68" s="125"/>
      <c r="AD68" s="123"/>
      <c r="AE68" s="123">
        <v>0.67708333333333337</v>
      </c>
      <c r="AF68" s="21">
        <f>AD20</f>
        <v>428.23700000000002</v>
      </c>
      <c r="AH68" s="125"/>
      <c r="AI68" s="123"/>
      <c r="AJ68" s="123">
        <v>0.67708333333333337</v>
      </c>
      <c r="AK68" s="21">
        <f>AI20</f>
        <v>0</v>
      </c>
      <c r="AM68" s="125"/>
      <c r="AN68" s="123"/>
      <c r="AO68" s="123">
        <v>0.67708333333333337</v>
      </c>
      <c r="AP68" s="21">
        <f>AN20</f>
        <v>0</v>
      </c>
    </row>
    <row r="69" spans="1:42" x14ac:dyDescent="0.3">
      <c r="A69" s="123">
        <v>0.63541666666666663</v>
      </c>
      <c r="B69" s="133">
        <f t="shared" si="0"/>
        <v>0</v>
      </c>
      <c r="D69" s="125"/>
      <c r="E69" s="123"/>
      <c r="F69" s="123">
        <v>0.6875</v>
      </c>
      <c r="G69" s="21">
        <f>E20</f>
        <v>0</v>
      </c>
      <c r="H69" s="22"/>
      <c r="I69" s="125"/>
      <c r="J69" s="123"/>
      <c r="K69" s="123">
        <v>0.6875</v>
      </c>
      <c r="L69" s="21">
        <f>J20</f>
        <v>0</v>
      </c>
      <c r="M69" s="22"/>
      <c r="N69" s="125"/>
      <c r="O69" s="123"/>
      <c r="P69" s="123">
        <v>0.6875</v>
      </c>
      <c r="Q69" s="21">
        <f>O20</f>
        <v>426.64099999999996</v>
      </c>
      <c r="R69" s="22"/>
      <c r="S69" s="125"/>
      <c r="T69" s="123"/>
      <c r="U69" s="123">
        <v>0.6875</v>
      </c>
      <c r="V69" s="21">
        <f>T20</f>
        <v>0</v>
      </c>
      <c r="W69" s="22"/>
      <c r="X69" s="125"/>
      <c r="Y69" s="123"/>
      <c r="Z69" s="123">
        <v>0.6875</v>
      </c>
      <c r="AA69" s="21">
        <f>Y20</f>
        <v>361.16300000000001</v>
      </c>
      <c r="AB69" s="22"/>
      <c r="AC69" s="125"/>
      <c r="AD69" s="123"/>
      <c r="AE69" s="123">
        <v>0.6875</v>
      </c>
      <c r="AF69" s="21">
        <f>AD20</f>
        <v>428.23700000000002</v>
      </c>
      <c r="AH69" s="125"/>
      <c r="AI69" s="123"/>
      <c r="AJ69" s="123">
        <v>0.6875</v>
      </c>
      <c r="AK69" s="21">
        <f>AI20</f>
        <v>0</v>
      </c>
      <c r="AM69" s="125"/>
      <c r="AN69" s="123"/>
      <c r="AO69" s="123">
        <v>0.6875</v>
      </c>
      <c r="AP69" s="21">
        <f>AN20</f>
        <v>0</v>
      </c>
    </row>
    <row r="70" spans="1:42" x14ac:dyDescent="0.3">
      <c r="A70" s="123">
        <v>0.64583333333333337</v>
      </c>
      <c r="B70" s="133">
        <f t="shared" si="0"/>
        <v>0</v>
      </c>
      <c r="D70" s="125"/>
      <c r="E70" s="123"/>
      <c r="F70" s="123">
        <v>0.69791666666666663</v>
      </c>
      <c r="G70" s="21">
        <f>E20</f>
        <v>0</v>
      </c>
      <c r="H70" s="22"/>
      <c r="I70" s="125"/>
      <c r="J70" s="123"/>
      <c r="K70" s="123">
        <v>0.69791666666666663</v>
      </c>
      <c r="L70" s="21">
        <f>J20</f>
        <v>0</v>
      </c>
      <c r="M70" s="22"/>
      <c r="N70" s="125"/>
      <c r="O70" s="123"/>
      <c r="P70" s="123">
        <v>0.69791666666666663</v>
      </c>
      <c r="Q70" s="21">
        <f>O20</f>
        <v>426.64099999999996</v>
      </c>
      <c r="R70" s="22"/>
      <c r="S70" s="125"/>
      <c r="T70" s="123"/>
      <c r="U70" s="123">
        <v>0.69791666666666663</v>
      </c>
      <c r="V70" s="21">
        <f>T20</f>
        <v>0</v>
      </c>
      <c r="W70" s="22"/>
      <c r="X70" s="125"/>
      <c r="Y70" s="123"/>
      <c r="Z70" s="123">
        <v>0.69791666666666663</v>
      </c>
      <c r="AA70" s="21">
        <f>Y20</f>
        <v>361.16300000000001</v>
      </c>
      <c r="AB70" s="22"/>
      <c r="AC70" s="125"/>
      <c r="AD70" s="123"/>
      <c r="AE70" s="123">
        <v>0.69791666666666663</v>
      </c>
      <c r="AF70" s="21">
        <f>AD20</f>
        <v>428.23700000000002</v>
      </c>
      <c r="AH70" s="125"/>
      <c r="AI70" s="123"/>
      <c r="AJ70" s="123">
        <v>0.69791666666666663</v>
      </c>
      <c r="AK70" s="21">
        <f>AI20</f>
        <v>0</v>
      </c>
      <c r="AM70" s="125"/>
      <c r="AN70" s="123"/>
      <c r="AO70" s="123">
        <v>0.69791666666666663</v>
      </c>
      <c r="AP70" s="21">
        <f>AN20</f>
        <v>0</v>
      </c>
    </row>
    <row r="71" spans="1:42" x14ac:dyDescent="0.3">
      <c r="A71" s="123">
        <v>0.65625</v>
      </c>
      <c r="B71" s="133">
        <f t="shared" si="0"/>
        <v>0</v>
      </c>
      <c r="D71" s="125"/>
      <c r="E71" s="123"/>
      <c r="F71" s="123">
        <v>0.70833333333333337</v>
      </c>
      <c r="G71" s="21">
        <f>E20</f>
        <v>0</v>
      </c>
      <c r="H71" s="22"/>
      <c r="I71" s="125"/>
      <c r="J71" s="123"/>
      <c r="K71" s="123">
        <v>0.70833333333333337</v>
      </c>
      <c r="L71" s="21">
        <f>J20</f>
        <v>0</v>
      </c>
      <c r="M71" s="22"/>
      <c r="N71" s="125"/>
      <c r="O71" s="123"/>
      <c r="P71" s="123">
        <v>0.70833333333333337</v>
      </c>
      <c r="Q71" s="21">
        <f>O20</f>
        <v>426.64099999999996</v>
      </c>
      <c r="R71" s="22"/>
      <c r="S71" s="125"/>
      <c r="T71" s="123"/>
      <c r="U71" s="123">
        <v>0.70833333333333337</v>
      </c>
      <c r="V71" s="21">
        <f>T20</f>
        <v>0</v>
      </c>
      <c r="W71" s="22"/>
      <c r="X71" s="125"/>
      <c r="Y71" s="123"/>
      <c r="Z71" s="123">
        <v>0.70833333333333337</v>
      </c>
      <c r="AA71" s="21">
        <f>Y20</f>
        <v>361.16300000000001</v>
      </c>
      <c r="AB71" s="22"/>
      <c r="AC71" s="125"/>
      <c r="AD71" s="123"/>
      <c r="AE71" s="123">
        <v>0.70833333333333337</v>
      </c>
      <c r="AF71" s="21">
        <f>AD20</f>
        <v>428.23700000000002</v>
      </c>
      <c r="AH71" s="125"/>
      <c r="AI71" s="123"/>
      <c r="AJ71" s="123">
        <v>0.70833333333333337</v>
      </c>
      <c r="AK71" s="21">
        <f>AI20</f>
        <v>0</v>
      </c>
      <c r="AM71" s="125"/>
      <c r="AN71" s="123"/>
      <c r="AO71" s="123">
        <v>0.70833333333333337</v>
      </c>
      <c r="AP71" s="21">
        <f>AN20</f>
        <v>0</v>
      </c>
    </row>
    <row r="72" spans="1:42" x14ac:dyDescent="0.3">
      <c r="A72" s="123">
        <v>0.66666666666666663</v>
      </c>
      <c r="B72" s="133">
        <f t="shared" si="0"/>
        <v>0</v>
      </c>
      <c r="D72" s="125"/>
      <c r="E72" s="123"/>
      <c r="F72" s="123">
        <v>0.71875</v>
      </c>
      <c r="G72" s="21">
        <f>E21</f>
        <v>0</v>
      </c>
      <c r="H72" s="22"/>
      <c r="I72" s="125"/>
      <c r="J72" s="123"/>
      <c r="K72" s="123">
        <v>0.71875</v>
      </c>
      <c r="L72" s="21">
        <f>J21</f>
        <v>0</v>
      </c>
      <c r="M72" s="22"/>
      <c r="N72" s="125"/>
      <c r="O72" s="123"/>
      <c r="P72" s="123">
        <v>0.71875</v>
      </c>
      <c r="Q72" s="21">
        <f>O21</f>
        <v>265.29199999999997</v>
      </c>
      <c r="R72" s="22"/>
      <c r="S72" s="125"/>
      <c r="T72" s="123"/>
      <c r="U72" s="123">
        <v>0.71875</v>
      </c>
      <c r="V72" s="21">
        <f>T21</f>
        <v>0</v>
      </c>
      <c r="W72" s="22"/>
      <c r="X72" s="125"/>
      <c r="Y72" s="123"/>
      <c r="Z72" s="123">
        <v>0.71875</v>
      </c>
      <c r="AA72" s="21">
        <f>Y21</f>
        <v>67.241399999999999</v>
      </c>
      <c r="AB72" s="22"/>
      <c r="AC72" s="125"/>
      <c r="AD72" s="123"/>
      <c r="AE72" s="123">
        <v>0.71875</v>
      </c>
      <c r="AF72" s="21">
        <f>AD21</f>
        <v>250.86799999999999</v>
      </c>
      <c r="AH72" s="125"/>
      <c r="AI72" s="123"/>
      <c r="AJ72" s="123">
        <v>0.71875</v>
      </c>
      <c r="AK72" s="21">
        <f>AI21</f>
        <v>0</v>
      </c>
      <c r="AM72" s="125"/>
      <c r="AN72" s="123"/>
      <c r="AO72" s="123">
        <v>0.71875</v>
      </c>
      <c r="AP72" s="21">
        <f>AN21</f>
        <v>0</v>
      </c>
    </row>
    <row r="73" spans="1:42" x14ac:dyDescent="0.3">
      <c r="A73" s="123">
        <v>0.67708333333333337</v>
      </c>
      <c r="B73" s="133">
        <f t="shared" si="0"/>
        <v>0</v>
      </c>
      <c r="D73" s="125"/>
      <c r="E73" s="123"/>
      <c r="F73" s="123">
        <v>0.72916666666666663</v>
      </c>
      <c r="G73" s="21">
        <f>E21</f>
        <v>0</v>
      </c>
      <c r="H73" s="22"/>
      <c r="I73" s="125"/>
      <c r="J73" s="123"/>
      <c r="K73" s="123">
        <v>0.72916666666666663</v>
      </c>
      <c r="L73" s="21">
        <f>J21</f>
        <v>0</v>
      </c>
      <c r="M73" s="22"/>
      <c r="N73" s="125"/>
      <c r="O73" s="123"/>
      <c r="P73" s="123">
        <v>0.72916666666666663</v>
      </c>
      <c r="Q73" s="21">
        <f>O21</f>
        <v>265.29199999999997</v>
      </c>
      <c r="R73" s="22"/>
      <c r="S73" s="125"/>
      <c r="T73" s="123"/>
      <c r="U73" s="123">
        <v>0.72916666666666663</v>
      </c>
      <c r="V73" s="21">
        <f>T21</f>
        <v>0</v>
      </c>
      <c r="W73" s="22"/>
      <c r="X73" s="125"/>
      <c r="Y73" s="123"/>
      <c r="Z73" s="123">
        <v>0.72916666666666663</v>
      </c>
      <c r="AA73" s="21">
        <f>Y21</f>
        <v>67.241399999999999</v>
      </c>
      <c r="AB73" s="22"/>
      <c r="AC73" s="125"/>
      <c r="AD73" s="123"/>
      <c r="AE73" s="123">
        <v>0.72916666666666663</v>
      </c>
      <c r="AF73" s="21">
        <f>AD21</f>
        <v>250.86799999999999</v>
      </c>
      <c r="AH73" s="125"/>
      <c r="AI73" s="123"/>
      <c r="AJ73" s="123">
        <v>0.72916666666666663</v>
      </c>
      <c r="AK73" s="21">
        <f>AI21</f>
        <v>0</v>
      </c>
      <c r="AM73" s="125"/>
      <c r="AN73" s="123"/>
      <c r="AO73" s="123">
        <v>0.72916666666666663</v>
      </c>
      <c r="AP73" s="21">
        <f>AN21</f>
        <v>0</v>
      </c>
    </row>
    <row r="74" spans="1:42" x14ac:dyDescent="0.3">
      <c r="A74" s="123">
        <v>0.6875</v>
      </c>
      <c r="B74" s="133">
        <f t="shared" ref="B74:B104" si="1">IF($B$6&gt;0,IF($B$3=$D$2,G69*$B$6,IF($B$3=$I$2,L69*$B$6,IF($B$3=$N$2,Q69*$B$6,IF($B$3=$S$2,V69*$B$6,IF($B$3=$X$2,AA69*$B$6,IF($B$3=$AC$2,AF69*$B$6,IF($B$3=$AH$2,AK69*$B$6,IF($B$3=$AM$2,AP69*$B$6,0)))))))),0)</f>
        <v>0</v>
      </c>
      <c r="D74" s="125"/>
      <c r="E74" s="123"/>
      <c r="F74" s="123">
        <v>0.73958333333333337</v>
      </c>
      <c r="G74" s="21">
        <f>E21</f>
        <v>0</v>
      </c>
      <c r="H74" s="22"/>
      <c r="I74" s="125"/>
      <c r="J74" s="123"/>
      <c r="K74" s="123">
        <v>0.73958333333333337</v>
      </c>
      <c r="L74" s="21">
        <f>J21</f>
        <v>0</v>
      </c>
      <c r="M74" s="22"/>
      <c r="N74" s="125"/>
      <c r="O74" s="123"/>
      <c r="P74" s="123">
        <v>0.73958333333333337</v>
      </c>
      <c r="Q74" s="21">
        <f>O21</f>
        <v>265.29199999999997</v>
      </c>
      <c r="R74" s="22"/>
      <c r="S74" s="125"/>
      <c r="T74" s="123"/>
      <c r="U74" s="123">
        <v>0.73958333333333337</v>
      </c>
      <c r="V74" s="21">
        <f>T21</f>
        <v>0</v>
      </c>
      <c r="W74" s="22"/>
      <c r="X74" s="125"/>
      <c r="Y74" s="123"/>
      <c r="Z74" s="123">
        <v>0.73958333333333337</v>
      </c>
      <c r="AA74" s="21">
        <f>Y21</f>
        <v>67.241399999999999</v>
      </c>
      <c r="AB74" s="22"/>
      <c r="AC74" s="125"/>
      <c r="AD74" s="123"/>
      <c r="AE74" s="123">
        <v>0.73958333333333337</v>
      </c>
      <c r="AF74" s="21">
        <f>AD21</f>
        <v>250.86799999999999</v>
      </c>
      <c r="AH74" s="125"/>
      <c r="AI74" s="123"/>
      <c r="AJ74" s="123">
        <v>0.73958333333333337</v>
      </c>
      <c r="AK74" s="21">
        <f>AI21</f>
        <v>0</v>
      </c>
      <c r="AM74" s="125"/>
      <c r="AN74" s="123"/>
      <c r="AO74" s="123">
        <v>0.73958333333333337</v>
      </c>
      <c r="AP74" s="21">
        <f>AN21</f>
        <v>0</v>
      </c>
    </row>
    <row r="75" spans="1:42" x14ac:dyDescent="0.3">
      <c r="A75" s="123">
        <v>0.69791666666666663</v>
      </c>
      <c r="B75" s="133">
        <f t="shared" si="1"/>
        <v>0</v>
      </c>
      <c r="D75" s="125"/>
      <c r="E75" s="123"/>
      <c r="F75" s="123">
        <v>0.75</v>
      </c>
      <c r="G75" s="21">
        <f>E21</f>
        <v>0</v>
      </c>
      <c r="H75" s="22"/>
      <c r="I75" s="125"/>
      <c r="J75" s="123"/>
      <c r="K75" s="123">
        <v>0.75</v>
      </c>
      <c r="L75" s="21">
        <f>J21</f>
        <v>0</v>
      </c>
      <c r="M75" s="22"/>
      <c r="N75" s="125"/>
      <c r="O75" s="123"/>
      <c r="P75" s="123">
        <v>0.75</v>
      </c>
      <c r="Q75" s="21">
        <f>O21</f>
        <v>265.29199999999997</v>
      </c>
      <c r="R75" s="22"/>
      <c r="S75" s="125"/>
      <c r="T75" s="123"/>
      <c r="U75" s="123">
        <v>0.75</v>
      </c>
      <c r="V75" s="21">
        <f>T21</f>
        <v>0</v>
      </c>
      <c r="W75" s="22"/>
      <c r="X75" s="125"/>
      <c r="Y75" s="123"/>
      <c r="Z75" s="123">
        <v>0.75</v>
      </c>
      <c r="AA75" s="21">
        <f>Y21</f>
        <v>67.241399999999999</v>
      </c>
      <c r="AB75" s="22"/>
      <c r="AC75" s="125"/>
      <c r="AD75" s="123"/>
      <c r="AE75" s="123">
        <v>0.75</v>
      </c>
      <c r="AF75" s="21">
        <f>AD21</f>
        <v>250.86799999999999</v>
      </c>
      <c r="AH75" s="125"/>
      <c r="AI75" s="123"/>
      <c r="AJ75" s="123">
        <v>0.75</v>
      </c>
      <c r="AK75" s="21">
        <f>AI21</f>
        <v>0</v>
      </c>
      <c r="AM75" s="125"/>
      <c r="AN75" s="123"/>
      <c r="AO75" s="123">
        <v>0.75</v>
      </c>
      <c r="AP75" s="21">
        <f>AN21</f>
        <v>0</v>
      </c>
    </row>
    <row r="76" spans="1:42" x14ac:dyDescent="0.3">
      <c r="A76" s="123">
        <v>0.70833333333333337</v>
      </c>
      <c r="B76" s="133">
        <f t="shared" si="1"/>
        <v>0</v>
      </c>
      <c r="D76" s="125"/>
      <c r="E76" s="123"/>
      <c r="F76" s="123">
        <v>0.76041666666666663</v>
      </c>
      <c r="G76" s="21">
        <f>E22</f>
        <v>0</v>
      </c>
      <c r="H76" s="22"/>
      <c r="I76" s="125"/>
      <c r="J76" s="123"/>
      <c r="K76" s="123">
        <v>0.76041666666666663</v>
      </c>
      <c r="L76" s="21">
        <f>J22</f>
        <v>0</v>
      </c>
      <c r="M76" s="22"/>
      <c r="N76" s="125"/>
      <c r="O76" s="123"/>
      <c r="P76" s="123">
        <v>0.76041666666666663</v>
      </c>
      <c r="Q76" s="21">
        <f>O22</f>
        <v>84.266300000000001</v>
      </c>
      <c r="R76" s="22"/>
      <c r="S76" s="125"/>
      <c r="T76" s="123"/>
      <c r="U76" s="123">
        <v>0.76041666666666663</v>
      </c>
      <c r="V76" s="21">
        <f>T22</f>
        <v>0</v>
      </c>
      <c r="W76" s="22"/>
      <c r="X76" s="125"/>
      <c r="Y76" s="123"/>
      <c r="Z76" s="123">
        <v>0.76041666666666663</v>
      </c>
      <c r="AA76" s="21">
        <f>Y22</f>
        <v>0</v>
      </c>
      <c r="AB76" s="22"/>
      <c r="AC76" s="125"/>
      <c r="AD76" s="123"/>
      <c r="AE76" s="123">
        <v>0.76041666666666663</v>
      </c>
      <c r="AF76" s="21">
        <f>AD22</f>
        <v>71.501300000000001</v>
      </c>
      <c r="AH76" s="125"/>
      <c r="AI76" s="123"/>
      <c r="AJ76" s="123">
        <v>0.76041666666666663</v>
      </c>
      <c r="AK76" s="21">
        <f>AI22</f>
        <v>0</v>
      </c>
      <c r="AM76" s="125"/>
      <c r="AN76" s="123"/>
      <c r="AO76" s="123">
        <v>0.76041666666666663</v>
      </c>
      <c r="AP76" s="21">
        <f>AN22</f>
        <v>0</v>
      </c>
    </row>
    <row r="77" spans="1:42" x14ac:dyDescent="0.3">
      <c r="A77" s="123">
        <v>0.71875</v>
      </c>
      <c r="B77" s="133">
        <f t="shared" si="1"/>
        <v>0</v>
      </c>
      <c r="D77" s="125"/>
      <c r="E77" s="123"/>
      <c r="F77" s="123">
        <v>0.77083333333333337</v>
      </c>
      <c r="G77" s="21">
        <f>E22</f>
        <v>0</v>
      </c>
      <c r="H77" s="22"/>
      <c r="I77" s="125"/>
      <c r="J77" s="123"/>
      <c r="K77" s="123">
        <v>0.77083333333333337</v>
      </c>
      <c r="L77" s="21">
        <f>J22</f>
        <v>0</v>
      </c>
      <c r="M77" s="22"/>
      <c r="N77" s="125"/>
      <c r="O77" s="123"/>
      <c r="P77" s="123">
        <v>0.77083333333333337</v>
      </c>
      <c r="Q77" s="21">
        <f>O22</f>
        <v>84.266300000000001</v>
      </c>
      <c r="R77" s="22"/>
      <c r="S77" s="125"/>
      <c r="T77" s="123"/>
      <c r="U77" s="123">
        <v>0.77083333333333337</v>
      </c>
      <c r="V77" s="21">
        <f>T22</f>
        <v>0</v>
      </c>
      <c r="W77" s="22"/>
      <c r="X77" s="125"/>
      <c r="Y77" s="123"/>
      <c r="Z77" s="123">
        <v>0.77083333333333337</v>
      </c>
      <c r="AA77" s="21">
        <f>Y22</f>
        <v>0</v>
      </c>
      <c r="AB77" s="22"/>
      <c r="AC77" s="125"/>
      <c r="AD77" s="123"/>
      <c r="AE77" s="123">
        <v>0.77083333333333337</v>
      </c>
      <c r="AF77" s="21">
        <f>AD22</f>
        <v>71.501300000000001</v>
      </c>
      <c r="AH77" s="125"/>
      <c r="AI77" s="123"/>
      <c r="AJ77" s="123">
        <v>0.77083333333333337</v>
      </c>
      <c r="AK77" s="21">
        <f>AI22</f>
        <v>0</v>
      </c>
      <c r="AM77" s="125"/>
      <c r="AN77" s="123"/>
      <c r="AO77" s="123">
        <v>0.77083333333333337</v>
      </c>
      <c r="AP77" s="21">
        <f>AN22</f>
        <v>0</v>
      </c>
    </row>
    <row r="78" spans="1:42" x14ac:dyDescent="0.3">
      <c r="A78" s="123">
        <v>0.72916666666666663</v>
      </c>
      <c r="B78" s="133">
        <f t="shared" si="1"/>
        <v>0</v>
      </c>
      <c r="D78" s="125"/>
      <c r="E78" s="123"/>
      <c r="F78" s="123">
        <v>0.78125</v>
      </c>
      <c r="G78" s="21">
        <f>E22</f>
        <v>0</v>
      </c>
      <c r="H78" s="22"/>
      <c r="I78" s="125"/>
      <c r="J78" s="123"/>
      <c r="K78" s="123">
        <v>0.78125</v>
      </c>
      <c r="L78" s="21">
        <f>J22</f>
        <v>0</v>
      </c>
      <c r="M78" s="22"/>
      <c r="N78" s="125"/>
      <c r="O78" s="123"/>
      <c r="P78" s="123">
        <v>0.78125</v>
      </c>
      <c r="Q78" s="21">
        <f>O22</f>
        <v>84.266300000000001</v>
      </c>
      <c r="R78" s="22"/>
      <c r="S78" s="125"/>
      <c r="T78" s="123"/>
      <c r="U78" s="123">
        <v>0.78125</v>
      </c>
      <c r="V78" s="21">
        <f>T22</f>
        <v>0</v>
      </c>
      <c r="W78" s="22"/>
      <c r="X78" s="125"/>
      <c r="Y78" s="123"/>
      <c r="Z78" s="123">
        <v>0.78125</v>
      </c>
      <c r="AA78" s="21">
        <f>Y22</f>
        <v>0</v>
      </c>
      <c r="AB78" s="22"/>
      <c r="AC78" s="125"/>
      <c r="AD78" s="123"/>
      <c r="AE78" s="123">
        <v>0.78125</v>
      </c>
      <c r="AF78" s="21">
        <f>AD22</f>
        <v>71.501300000000001</v>
      </c>
      <c r="AH78" s="125"/>
      <c r="AI78" s="123"/>
      <c r="AJ78" s="123">
        <v>0.78125</v>
      </c>
      <c r="AK78" s="21">
        <f>AI22</f>
        <v>0</v>
      </c>
      <c r="AM78" s="125"/>
      <c r="AN78" s="123"/>
      <c r="AO78" s="123">
        <v>0.78125</v>
      </c>
      <c r="AP78" s="21">
        <f>AN22</f>
        <v>0</v>
      </c>
    </row>
    <row r="79" spans="1:42" x14ac:dyDescent="0.3">
      <c r="A79" s="123">
        <v>0.73958333333333337</v>
      </c>
      <c r="B79" s="133">
        <f t="shared" si="1"/>
        <v>0</v>
      </c>
      <c r="D79" s="125"/>
      <c r="E79" s="123"/>
      <c r="F79" s="123">
        <v>0.79166666666666663</v>
      </c>
      <c r="G79" s="21">
        <f>E22</f>
        <v>0</v>
      </c>
      <c r="H79" s="22"/>
      <c r="I79" s="125"/>
      <c r="J79" s="123"/>
      <c r="K79" s="123">
        <v>0.79166666666666663</v>
      </c>
      <c r="L79" s="21">
        <f>J22</f>
        <v>0</v>
      </c>
      <c r="M79" s="22"/>
      <c r="N79" s="125"/>
      <c r="O79" s="123"/>
      <c r="P79" s="123">
        <v>0.79166666666666663</v>
      </c>
      <c r="Q79" s="21">
        <f>O22</f>
        <v>84.266300000000001</v>
      </c>
      <c r="R79" s="22"/>
      <c r="S79" s="125"/>
      <c r="T79" s="123"/>
      <c r="U79" s="123">
        <v>0.79166666666666663</v>
      </c>
      <c r="V79" s="21">
        <f>T22</f>
        <v>0</v>
      </c>
      <c r="W79" s="22"/>
      <c r="X79" s="125"/>
      <c r="Y79" s="123"/>
      <c r="Z79" s="123">
        <v>0.79166666666666663</v>
      </c>
      <c r="AA79" s="21">
        <f>Y22</f>
        <v>0</v>
      </c>
      <c r="AB79" s="22"/>
      <c r="AC79" s="125"/>
      <c r="AD79" s="123"/>
      <c r="AE79" s="123">
        <v>0.79166666666666663</v>
      </c>
      <c r="AF79" s="21">
        <f>AD22</f>
        <v>71.501300000000001</v>
      </c>
      <c r="AH79" s="125"/>
      <c r="AI79" s="123"/>
      <c r="AJ79" s="123">
        <v>0.79166666666666663</v>
      </c>
      <c r="AK79" s="21">
        <f>AI22</f>
        <v>0</v>
      </c>
      <c r="AM79" s="125"/>
      <c r="AN79" s="123"/>
      <c r="AO79" s="123">
        <v>0.79166666666666663</v>
      </c>
      <c r="AP79" s="21">
        <f>AN22</f>
        <v>0</v>
      </c>
    </row>
    <row r="80" spans="1:42" x14ac:dyDescent="0.3">
      <c r="A80" s="123">
        <v>0.75</v>
      </c>
      <c r="B80" s="133">
        <f t="shared" si="1"/>
        <v>0</v>
      </c>
      <c r="D80" s="125"/>
      <c r="E80" s="123"/>
      <c r="F80" s="123">
        <v>0.80208333333333337</v>
      </c>
      <c r="G80" s="21">
        <f>E23</f>
        <v>0</v>
      </c>
      <c r="H80" s="22"/>
      <c r="I80" s="125"/>
      <c r="J80" s="123"/>
      <c r="K80" s="123">
        <v>0.80208333333333337</v>
      </c>
      <c r="L80" s="21">
        <f>J23</f>
        <v>0</v>
      </c>
      <c r="M80" s="22"/>
      <c r="N80" s="125"/>
      <c r="O80" s="123"/>
      <c r="P80" s="123">
        <v>0.80208333333333337</v>
      </c>
      <c r="Q80" s="21">
        <f>O23</f>
        <v>4.1248399999999998</v>
      </c>
      <c r="R80" s="22"/>
      <c r="S80" s="125"/>
      <c r="T80" s="123"/>
      <c r="U80" s="123">
        <v>0.80208333333333337</v>
      </c>
      <c r="V80" s="21">
        <f>T23</f>
        <v>0</v>
      </c>
      <c r="W80" s="22"/>
      <c r="X80" s="125"/>
      <c r="Y80" s="123"/>
      <c r="Z80" s="123">
        <v>0.80208333333333337</v>
      </c>
      <c r="AA80" s="21">
        <f>Y23</f>
        <v>0</v>
      </c>
      <c r="AB80" s="22"/>
      <c r="AC80" s="125"/>
      <c r="AD80" s="123"/>
      <c r="AE80" s="123">
        <v>0.80208333333333337</v>
      </c>
      <c r="AF80" s="21">
        <f>AD23</f>
        <v>1.78748</v>
      </c>
      <c r="AH80" s="125"/>
      <c r="AI80" s="123"/>
      <c r="AJ80" s="123">
        <v>0.80208333333333337</v>
      </c>
      <c r="AK80" s="21">
        <f>AI23</f>
        <v>0</v>
      </c>
      <c r="AM80" s="125"/>
      <c r="AN80" s="123"/>
      <c r="AO80" s="123">
        <v>0.80208333333333337</v>
      </c>
      <c r="AP80" s="21">
        <f>AN23</f>
        <v>0</v>
      </c>
    </row>
    <row r="81" spans="1:42" x14ac:dyDescent="0.3">
      <c r="A81" s="123">
        <v>0.76041666666666663</v>
      </c>
      <c r="B81" s="133">
        <f t="shared" si="1"/>
        <v>0</v>
      </c>
      <c r="D81" s="125"/>
      <c r="E81" s="123"/>
      <c r="F81" s="123">
        <v>0.8125</v>
      </c>
      <c r="G81" s="21">
        <f>E23</f>
        <v>0</v>
      </c>
      <c r="H81" s="22"/>
      <c r="I81" s="125"/>
      <c r="J81" s="123"/>
      <c r="K81" s="123">
        <v>0.8125</v>
      </c>
      <c r="L81" s="21">
        <f>J23</f>
        <v>0</v>
      </c>
      <c r="M81" s="22"/>
      <c r="N81" s="125"/>
      <c r="O81" s="123"/>
      <c r="P81" s="123">
        <v>0.8125</v>
      </c>
      <c r="Q81" s="21">
        <f>O23</f>
        <v>4.1248399999999998</v>
      </c>
      <c r="R81" s="22"/>
      <c r="S81" s="125"/>
      <c r="T81" s="123"/>
      <c r="U81" s="123">
        <v>0.8125</v>
      </c>
      <c r="V81" s="21">
        <f>T23</f>
        <v>0</v>
      </c>
      <c r="W81" s="22"/>
      <c r="X81" s="125"/>
      <c r="Y81" s="123"/>
      <c r="Z81" s="123">
        <v>0.8125</v>
      </c>
      <c r="AA81" s="21">
        <f>Y23</f>
        <v>0</v>
      </c>
      <c r="AB81" s="22"/>
      <c r="AC81" s="125"/>
      <c r="AD81" s="123"/>
      <c r="AE81" s="123">
        <v>0.8125</v>
      </c>
      <c r="AF81" s="21">
        <f>AD23</f>
        <v>1.78748</v>
      </c>
      <c r="AH81" s="125"/>
      <c r="AI81" s="123"/>
      <c r="AJ81" s="123">
        <v>0.8125</v>
      </c>
      <c r="AK81" s="21">
        <f>AI23</f>
        <v>0</v>
      </c>
      <c r="AM81" s="125"/>
      <c r="AN81" s="123"/>
      <c r="AO81" s="123">
        <v>0.8125</v>
      </c>
      <c r="AP81" s="21">
        <f>AN23</f>
        <v>0</v>
      </c>
    </row>
    <row r="82" spans="1:42" x14ac:dyDescent="0.3">
      <c r="A82" s="123">
        <v>0.77083333333333337</v>
      </c>
      <c r="B82" s="133">
        <f t="shared" si="1"/>
        <v>0</v>
      </c>
      <c r="D82" s="125"/>
      <c r="E82" s="123"/>
      <c r="F82" s="123">
        <v>0.82291666666666663</v>
      </c>
      <c r="G82" s="21">
        <f>E23</f>
        <v>0</v>
      </c>
      <c r="H82" s="22"/>
      <c r="I82" s="125"/>
      <c r="J82" s="123"/>
      <c r="K82" s="123">
        <v>0.82291666666666663</v>
      </c>
      <c r="L82" s="21">
        <f>J23</f>
        <v>0</v>
      </c>
      <c r="M82" s="22"/>
      <c r="N82" s="125"/>
      <c r="O82" s="123"/>
      <c r="P82" s="123">
        <v>0.82291666666666663</v>
      </c>
      <c r="Q82" s="21">
        <f>O23</f>
        <v>4.1248399999999998</v>
      </c>
      <c r="R82" s="22"/>
      <c r="S82" s="125"/>
      <c r="T82" s="123"/>
      <c r="U82" s="123">
        <v>0.82291666666666663</v>
      </c>
      <c r="V82" s="21">
        <f>T23</f>
        <v>0</v>
      </c>
      <c r="W82" s="22"/>
      <c r="X82" s="125"/>
      <c r="Y82" s="123"/>
      <c r="Z82" s="123">
        <v>0.82291666666666663</v>
      </c>
      <c r="AA82" s="21">
        <f>Y23</f>
        <v>0</v>
      </c>
      <c r="AB82" s="22"/>
      <c r="AC82" s="125"/>
      <c r="AD82" s="123"/>
      <c r="AE82" s="123">
        <v>0.82291666666666663</v>
      </c>
      <c r="AF82" s="21">
        <f>AD23</f>
        <v>1.78748</v>
      </c>
      <c r="AH82" s="125"/>
      <c r="AI82" s="123"/>
      <c r="AJ82" s="123">
        <v>0.82291666666666663</v>
      </c>
      <c r="AK82" s="21">
        <f>AI23</f>
        <v>0</v>
      </c>
      <c r="AM82" s="125"/>
      <c r="AN82" s="123"/>
      <c r="AO82" s="123">
        <v>0.82291666666666663</v>
      </c>
      <c r="AP82" s="21">
        <f>AN23</f>
        <v>0</v>
      </c>
    </row>
    <row r="83" spans="1:42" x14ac:dyDescent="0.3">
      <c r="A83" s="123">
        <v>0.78125</v>
      </c>
      <c r="B83" s="133">
        <f t="shared" si="1"/>
        <v>0</v>
      </c>
      <c r="D83" s="125"/>
      <c r="E83" s="123"/>
      <c r="F83" s="123">
        <v>0.83333333333333337</v>
      </c>
      <c r="G83" s="21">
        <f>E23</f>
        <v>0</v>
      </c>
      <c r="H83" s="22"/>
      <c r="I83" s="125"/>
      <c r="J83" s="123"/>
      <c r="K83" s="123">
        <v>0.83333333333333337</v>
      </c>
      <c r="L83" s="21">
        <f>J23</f>
        <v>0</v>
      </c>
      <c r="M83" s="22"/>
      <c r="N83" s="125"/>
      <c r="O83" s="123"/>
      <c r="P83" s="123">
        <v>0.83333333333333337</v>
      </c>
      <c r="Q83" s="21">
        <f>O23</f>
        <v>4.1248399999999998</v>
      </c>
      <c r="R83" s="22"/>
      <c r="S83" s="125"/>
      <c r="T83" s="123"/>
      <c r="U83" s="123">
        <v>0.83333333333333337</v>
      </c>
      <c r="V83" s="21">
        <f>T23</f>
        <v>0</v>
      </c>
      <c r="W83" s="22"/>
      <c r="X83" s="125"/>
      <c r="Y83" s="123"/>
      <c r="Z83" s="123">
        <v>0.83333333333333337</v>
      </c>
      <c r="AA83" s="21">
        <f>Y23</f>
        <v>0</v>
      </c>
      <c r="AB83" s="22"/>
      <c r="AC83" s="125"/>
      <c r="AD83" s="123"/>
      <c r="AE83" s="123">
        <v>0.83333333333333337</v>
      </c>
      <c r="AF83" s="21">
        <f>AD23</f>
        <v>1.78748</v>
      </c>
      <c r="AH83" s="125"/>
      <c r="AI83" s="123"/>
      <c r="AJ83" s="123">
        <v>0.83333333333333337</v>
      </c>
      <c r="AK83" s="21">
        <f>AI23</f>
        <v>0</v>
      </c>
      <c r="AM83" s="125"/>
      <c r="AN83" s="123"/>
      <c r="AO83" s="123">
        <v>0.83333333333333337</v>
      </c>
      <c r="AP83" s="21">
        <f>AN23</f>
        <v>0</v>
      </c>
    </row>
    <row r="84" spans="1:42" x14ac:dyDescent="0.3">
      <c r="A84" s="123">
        <v>0.79166666666666663</v>
      </c>
      <c r="B84" s="133">
        <f t="shared" si="1"/>
        <v>0</v>
      </c>
      <c r="D84" s="125"/>
      <c r="E84" s="123"/>
      <c r="F84" s="123">
        <v>0.84375</v>
      </c>
      <c r="G84" s="21">
        <f>E24</f>
        <v>0</v>
      </c>
      <c r="H84" s="22"/>
      <c r="I84" s="125"/>
      <c r="J84" s="123"/>
      <c r="K84" s="123">
        <v>0.84375</v>
      </c>
      <c r="L84" s="21">
        <f>J24</f>
        <v>0</v>
      </c>
      <c r="M84" s="22"/>
      <c r="N84" s="125"/>
      <c r="O84" s="123"/>
      <c r="P84" s="123">
        <v>0.84375</v>
      </c>
      <c r="Q84" s="21">
        <f>O24</f>
        <v>0</v>
      </c>
      <c r="R84" s="22"/>
      <c r="S84" s="125"/>
      <c r="T84" s="123"/>
      <c r="U84" s="123">
        <v>0.84375</v>
      </c>
      <c r="V84" s="21">
        <f>T24</f>
        <v>0</v>
      </c>
      <c r="W84" s="22"/>
      <c r="X84" s="125"/>
      <c r="Y84" s="123"/>
      <c r="Z84" s="123">
        <v>0.84375</v>
      </c>
      <c r="AA84" s="21">
        <f>Y24</f>
        <v>0</v>
      </c>
      <c r="AB84" s="22"/>
      <c r="AC84" s="125"/>
      <c r="AD84" s="123"/>
      <c r="AE84" s="123">
        <v>0.84375</v>
      </c>
      <c r="AF84" s="21">
        <f>AD24</f>
        <v>0</v>
      </c>
      <c r="AH84" s="125"/>
      <c r="AI84" s="123"/>
      <c r="AJ84" s="123">
        <v>0.84375</v>
      </c>
      <c r="AK84" s="21">
        <f>AI24</f>
        <v>0</v>
      </c>
      <c r="AM84" s="125"/>
      <c r="AN84" s="123"/>
      <c r="AO84" s="123">
        <v>0.84375</v>
      </c>
      <c r="AP84" s="21">
        <f>AN24</f>
        <v>0</v>
      </c>
    </row>
    <row r="85" spans="1:42" x14ac:dyDescent="0.3">
      <c r="A85" s="123">
        <v>0.80208333333333337</v>
      </c>
      <c r="B85" s="133">
        <f t="shared" si="1"/>
        <v>0</v>
      </c>
      <c r="D85" s="125"/>
      <c r="E85" s="123"/>
      <c r="F85" s="123">
        <v>0.85416666666666663</v>
      </c>
      <c r="G85" s="21">
        <f>E24</f>
        <v>0</v>
      </c>
      <c r="H85" s="22"/>
      <c r="I85" s="125"/>
      <c r="J85" s="123"/>
      <c r="K85" s="123">
        <v>0.85416666666666663</v>
      </c>
      <c r="L85" s="21">
        <f>J24</f>
        <v>0</v>
      </c>
      <c r="M85" s="22"/>
      <c r="N85" s="125"/>
      <c r="O85" s="123"/>
      <c r="P85" s="123">
        <v>0.85416666666666663</v>
      </c>
      <c r="Q85" s="21">
        <f>O24</f>
        <v>0</v>
      </c>
      <c r="R85" s="22"/>
      <c r="S85" s="125"/>
      <c r="T85" s="123"/>
      <c r="U85" s="123">
        <v>0.85416666666666663</v>
      </c>
      <c r="V85" s="21">
        <f>T24</f>
        <v>0</v>
      </c>
      <c r="W85" s="22"/>
      <c r="X85" s="125"/>
      <c r="Y85" s="123"/>
      <c r="Z85" s="123">
        <v>0.85416666666666663</v>
      </c>
      <c r="AA85" s="21">
        <f>Y24</f>
        <v>0</v>
      </c>
      <c r="AB85" s="22"/>
      <c r="AC85" s="125"/>
      <c r="AD85" s="123"/>
      <c r="AE85" s="123">
        <v>0.85416666666666663</v>
      </c>
      <c r="AF85" s="21">
        <f>AD24</f>
        <v>0</v>
      </c>
      <c r="AH85" s="125"/>
      <c r="AI85" s="123"/>
      <c r="AJ85" s="123">
        <v>0.85416666666666663</v>
      </c>
      <c r="AK85" s="21">
        <f>AI24</f>
        <v>0</v>
      </c>
      <c r="AM85" s="125"/>
      <c r="AN85" s="123"/>
      <c r="AO85" s="123">
        <v>0.85416666666666663</v>
      </c>
      <c r="AP85" s="21">
        <f>AN24</f>
        <v>0</v>
      </c>
    </row>
    <row r="86" spans="1:42" x14ac:dyDescent="0.3">
      <c r="A86" s="123">
        <v>0.8125</v>
      </c>
      <c r="B86" s="133">
        <f t="shared" si="1"/>
        <v>0</v>
      </c>
      <c r="D86" s="125"/>
      <c r="E86" s="123"/>
      <c r="F86" s="123">
        <v>0.86458333333333337</v>
      </c>
      <c r="G86" s="21">
        <f>E24</f>
        <v>0</v>
      </c>
      <c r="H86" s="22"/>
      <c r="I86" s="125"/>
      <c r="J86" s="123"/>
      <c r="K86" s="123">
        <v>0.86458333333333337</v>
      </c>
      <c r="L86" s="21">
        <f>J24</f>
        <v>0</v>
      </c>
      <c r="M86" s="22"/>
      <c r="N86" s="125"/>
      <c r="O86" s="123"/>
      <c r="P86" s="123">
        <v>0.86458333333333337</v>
      </c>
      <c r="Q86" s="21">
        <f>O24</f>
        <v>0</v>
      </c>
      <c r="R86" s="22"/>
      <c r="S86" s="125"/>
      <c r="T86" s="123"/>
      <c r="U86" s="123">
        <v>0.86458333333333337</v>
      </c>
      <c r="V86" s="21">
        <f>T24</f>
        <v>0</v>
      </c>
      <c r="W86" s="22"/>
      <c r="X86" s="125"/>
      <c r="Y86" s="123"/>
      <c r="Z86" s="123">
        <v>0.86458333333333337</v>
      </c>
      <c r="AA86" s="21">
        <f>Y24</f>
        <v>0</v>
      </c>
      <c r="AB86" s="22"/>
      <c r="AC86" s="125"/>
      <c r="AD86" s="123"/>
      <c r="AE86" s="123">
        <v>0.86458333333333337</v>
      </c>
      <c r="AF86" s="21">
        <f>AD24</f>
        <v>0</v>
      </c>
      <c r="AH86" s="125"/>
      <c r="AI86" s="123"/>
      <c r="AJ86" s="123">
        <v>0.86458333333333337</v>
      </c>
      <c r="AK86" s="21">
        <f>AI24</f>
        <v>0</v>
      </c>
      <c r="AM86" s="125"/>
      <c r="AN86" s="123"/>
      <c r="AO86" s="123">
        <v>0.86458333333333337</v>
      </c>
      <c r="AP86" s="21">
        <f>AN24</f>
        <v>0</v>
      </c>
    </row>
    <row r="87" spans="1:42" x14ac:dyDescent="0.3">
      <c r="A87" s="123">
        <v>0.82291666666666663</v>
      </c>
      <c r="B87" s="133">
        <f t="shared" si="1"/>
        <v>0</v>
      </c>
      <c r="D87" s="125"/>
      <c r="E87" s="123"/>
      <c r="F87" s="123">
        <v>0.875</v>
      </c>
      <c r="G87" s="21">
        <f>E24</f>
        <v>0</v>
      </c>
      <c r="H87" s="22"/>
      <c r="I87" s="125"/>
      <c r="J87" s="123"/>
      <c r="K87" s="123">
        <v>0.875</v>
      </c>
      <c r="L87" s="21">
        <f>J24</f>
        <v>0</v>
      </c>
      <c r="M87" s="22"/>
      <c r="N87" s="125"/>
      <c r="O87" s="123"/>
      <c r="P87" s="123">
        <v>0.875</v>
      </c>
      <c r="Q87" s="21">
        <f>O24</f>
        <v>0</v>
      </c>
      <c r="R87" s="22"/>
      <c r="S87" s="125"/>
      <c r="T87" s="123"/>
      <c r="U87" s="123">
        <v>0.875</v>
      </c>
      <c r="V87" s="21">
        <f>T24</f>
        <v>0</v>
      </c>
      <c r="W87" s="22"/>
      <c r="X87" s="125"/>
      <c r="Y87" s="123"/>
      <c r="Z87" s="123">
        <v>0.875</v>
      </c>
      <c r="AA87" s="21">
        <f>Y24</f>
        <v>0</v>
      </c>
      <c r="AB87" s="22"/>
      <c r="AC87" s="125"/>
      <c r="AD87" s="123"/>
      <c r="AE87" s="123">
        <v>0.875</v>
      </c>
      <c r="AF87" s="21">
        <f>AD24</f>
        <v>0</v>
      </c>
      <c r="AH87" s="125"/>
      <c r="AI87" s="123"/>
      <c r="AJ87" s="123">
        <v>0.875</v>
      </c>
      <c r="AK87" s="21">
        <f>AI24</f>
        <v>0</v>
      </c>
      <c r="AM87" s="125"/>
      <c r="AN87" s="123"/>
      <c r="AO87" s="123">
        <v>0.875</v>
      </c>
      <c r="AP87" s="21">
        <f>AN24</f>
        <v>0</v>
      </c>
    </row>
    <row r="88" spans="1:42" x14ac:dyDescent="0.3">
      <c r="A88" s="123">
        <v>0.83333333333333337</v>
      </c>
      <c r="B88" s="133">
        <f t="shared" si="1"/>
        <v>0</v>
      </c>
      <c r="D88" s="125"/>
      <c r="E88" s="123"/>
      <c r="F88" s="123">
        <v>0.88541666666666663</v>
      </c>
      <c r="G88" s="21">
        <f>E25</f>
        <v>0</v>
      </c>
      <c r="H88" s="22"/>
      <c r="I88" s="125"/>
      <c r="J88" s="123"/>
      <c r="K88" s="123">
        <v>0.88541666666666663</v>
      </c>
      <c r="L88" s="21">
        <f>J25</f>
        <v>0</v>
      </c>
      <c r="M88" s="22"/>
      <c r="N88" s="125"/>
      <c r="O88" s="123"/>
      <c r="P88" s="123">
        <v>0.88541666666666663</v>
      </c>
      <c r="Q88" s="21">
        <f>O25</f>
        <v>0</v>
      </c>
      <c r="R88" s="22"/>
      <c r="S88" s="125"/>
      <c r="T88" s="123"/>
      <c r="U88" s="123">
        <v>0.88541666666666663</v>
      </c>
      <c r="V88" s="21">
        <f>T25</f>
        <v>0</v>
      </c>
      <c r="W88" s="22"/>
      <c r="X88" s="125"/>
      <c r="Y88" s="123"/>
      <c r="Z88" s="123">
        <v>0.88541666666666663</v>
      </c>
      <c r="AA88" s="21">
        <f>Y25</f>
        <v>0</v>
      </c>
      <c r="AB88" s="22"/>
      <c r="AC88" s="125"/>
      <c r="AD88" s="123"/>
      <c r="AE88" s="123">
        <v>0.88541666666666663</v>
      </c>
      <c r="AF88" s="21">
        <f>AD25</f>
        <v>0</v>
      </c>
      <c r="AH88" s="125"/>
      <c r="AI88" s="123"/>
      <c r="AJ88" s="123">
        <v>0.88541666666666663</v>
      </c>
      <c r="AK88" s="21">
        <f>AI25</f>
        <v>0</v>
      </c>
      <c r="AM88" s="125"/>
      <c r="AN88" s="123"/>
      <c r="AO88" s="123">
        <v>0.88541666666666663</v>
      </c>
      <c r="AP88" s="21">
        <f>AN25</f>
        <v>0</v>
      </c>
    </row>
    <row r="89" spans="1:42" x14ac:dyDescent="0.3">
      <c r="A89" s="123">
        <v>0.84375</v>
      </c>
      <c r="B89" s="133">
        <f t="shared" si="1"/>
        <v>0</v>
      </c>
      <c r="D89" s="125"/>
      <c r="E89" s="123"/>
      <c r="F89" s="123">
        <v>0.89583333333333337</v>
      </c>
      <c r="G89" s="21">
        <f>E25</f>
        <v>0</v>
      </c>
      <c r="H89" s="22"/>
      <c r="I89" s="125"/>
      <c r="J89" s="123"/>
      <c r="K89" s="123">
        <v>0.89583333333333337</v>
      </c>
      <c r="L89" s="21">
        <f>J25</f>
        <v>0</v>
      </c>
      <c r="M89" s="22"/>
      <c r="N89" s="125"/>
      <c r="O89" s="123"/>
      <c r="P89" s="123">
        <v>0.89583333333333337</v>
      </c>
      <c r="Q89" s="21">
        <f>O25</f>
        <v>0</v>
      </c>
      <c r="R89" s="22"/>
      <c r="S89" s="125"/>
      <c r="T89" s="123"/>
      <c r="U89" s="123">
        <v>0.89583333333333337</v>
      </c>
      <c r="V89" s="21">
        <f>T25</f>
        <v>0</v>
      </c>
      <c r="W89" s="22"/>
      <c r="X89" s="125"/>
      <c r="Y89" s="123"/>
      <c r="Z89" s="123">
        <v>0.89583333333333337</v>
      </c>
      <c r="AA89" s="21">
        <f>Y25</f>
        <v>0</v>
      </c>
      <c r="AB89" s="22"/>
      <c r="AC89" s="125"/>
      <c r="AD89" s="123"/>
      <c r="AE89" s="123">
        <v>0.89583333333333337</v>
      </c>
      <c r="AF89" s="21">
        <f>AD25</f>
        <v>0</v>
      </c>
      <c r="AH89" s="125"/>
      <c r="AI89" s="123"/>
      <c r="AJ89" s="123">
        <v>0.89583333333333337</v>
      </c>
      <c r="AK89" s="21">
        <f>AI25</f>
        <v>0</v>
      </c>
      <c r="AM89" s="125"/>
      <c r="AN89" s="123"/>
      <c r="AO89" s="123">
        <v>0.89583333333333337</v>
      </c>
      <c r="AP89" s="21">
        <f>AN25</f>
        <v>0</v>
      </c>
    </row>
    <row r="90" spans="1:42" x14ac:dyDescent="0.3">
      <c r="A90" s="123">
        <v>0.85416666666666663</v>
      </c>
      <c r="B90" s="133">
        <f t="shared" si="1"/>
        <v>0</v>
      </c>
      <c r="D90" s="125"/>
      <c r="E90" s="123"/>
      <c r="F90" s="123">
        <v>0.90625</v>
      </c>
      <c r="G90" s="21">
        <f>E25</f>
        <v>0</v>
      </c>
      <c r="H90" s="22"/>
      <c r="I90" s="125"/>
      <c r="J90" s="123"/>
      <c r="K90" s="123">
        <v>0.90625</v>
      </c>
      <c r="L90" s="21">
        <f>J25</f>
        <v>0</v>
      </c>
      <c r="M90" s="22"/>
      <c r="N90" s="125"/>
      <c r="O90" s="123"/>
      <c r="P90" s="123">
        <v>0.90625</v>
      </c>
      <c r="Q90" s="21">
        <f>O25</f>
        <v>0</v>
      </c>
      <c r="R90" s="22"/>
      <c r="S90" s="125"/>
      <c r="T90" s="123"/>
      <c r="U90" s="123">
        <v>0.90625</v>
      </c>
      <c r="V90" s="21">
        <f>T25</f>
        <v>0</v>
      </c>
      <c r="W90" s="22"/>
      <c r="X90" s="125"/>
      <c r="Y90" s="123"/>
      <c r="Z90" s="123">
        <v>0.90625</v>
      </c>
      <c r="AA90" s="21">
        <f>Y25</f>
        <v>0</v>
      </c>
      <c r="AB90" s="22"/>
      <c r="AC90" s="125"/>
      <c r="AD90" s="123"/>
      <c r="AE90" s="123">
        <v>0.90625</v>
      </c>
      <c r="AF90" s="21">
        <f>AD25</f>
        <v>0</v>
      </c>
      <c r="AH90" s="125"/>
      <c r="AI90" s="123"/>
      <c r="AJ90" s="123">
        <v>0.90625</v>
      </c>
      <c r="AK90" s="21">
        <f>AI25</f>
        <v>0</v>
      </c>
      <c r="AM90" s="125"/>
      <c r="AN90" s="123"/>
      <c r="AO90" s="123">
        <v>0.90625</v>
      </c>
      <c r="AP90" s="21">
        <f>AN25</f>
        <v>0</v>
      </c>
    </row>
    <row r="91" spans="1:42" x14ac:dyDescent="0.3">
      <c r="A91" s="123">
        <v>0.86458333333333337</v>
      </c>
      <c r="B91" s="133">
        <f t="shared" si="1"/>
        <v>0</v>
      </c>
      <c r="D91" s="125"/>
      <c r="E91" s="123"/>
      <c r="F91" s="123">
        <v>0.91666666666666663</v>
      </c>
      <c r="G91" s="21">
        <f>E25</f>
        <v>0</v>
      </c>
      <c r="H91" s="22"/>
      <c r="I91" s="125"/>
      <c r="J91" s="123"/>
      <c r="K91" s="123">
        <v>0.91666666666666663</v>
      </c>
      <c r="L91" s="21">
        <f>J25</f>
        <v>0</v>
      </c>
      <c r="M91" s="22"/>
      <c r="N91" s="125"/>
      <c r="O91" s="123"/>
      <c r="P91" s="123">
        <v>0.91666666666666663</v>
      </c>
      <c r="Q91" s="21">
        <f>O25</f>
        <v>0</v>
      </c>
      <c r="R91" s="22"/>
      <c r="S91" s="125"/>
      <c r="T91" s="123"/>
      <c r="U91" s="123">
        <v>0.91666666666666663</v>
      </c>
      <c r="V91" s="21">
        <f>T25</f>
        <v>0</v>
      </c>
      <c r="W91" s="22"/>
      <c r="X91" s="125"/>
      <c r="Y91" s="123"/>
      <c r="Z91" s="123">
        <v>0.91666666666666663</v>
      </c>
      <c r="AA91" s="21">
        <f>Y25</f>
        <v>0</v>
      </c>
      <c r="AB91" s="22"/>
      <c r="AC91" s="125"/>
      <c r="AD91" s="123"/>
      <c r="AE91" s="123">
        <v>0.91666666666666663</v>
      </c>
      <c r="AF91" s="21">
        <f>AD25</f>
        <v>0</v>
      </c>
      <c r="AH91" s="125"/>
      <c r="AI91" s="123"/>
      <c r="AJ91" s="123">
        <v>0.91666666666666663</v>
      </c>
      <c r="AK91" s="21">
        <f>AI25</f>
        <v>0</v>
      </c>
      <c r="AM91" s="125"/>
      <c r="AN91" s="123"/>
      <c r="AO91" s="123">
        <v>0.91666666666666663</v>
      </c>
      <c r="AP91" s="21">
        <f>AN25</f>
        <v>0</v>
      </c>
    </row>
    <row r="92" spans="1:42" x14ac:dyDescent="0.3">
      <c r="A92" s="123">
        <v>0.875</v>
      </c>
      <c r="B92" s="133">
        <f t="shared" si="1"/>
        <v>0</v>
      </c>
      <c r="D92" s="125"/>
      <c r="E92" s="123"/>
      <c r="F92" s="123">
        <v>0.92708333333333337</v>
      </c>
      <c r="G92" s="21">
        <f>E26</f>
        <v>0</v>
      </c>
      <c r="H92" s="22"/>
      <c r="I92" s="125"/>
      <c r="J92" s="123"/>
      <c r="K92" s="123">
        <v>0.92708333333333337</v>
      </c>
      <c r="L92" s="21">
        <f>J26</f>
        <v>0</v>
      </c>
      <c r="M92" s="22"/>
      <c r="N92" s="125"/>
      <c r="O92" s="123"/>
      <c r="P92" s="123">
        <v>0.92708333333333337</v>
      </c>
      <c r="Q92" s="21">
        <f>O26</f>
        <v>0</v>
      </c>
      <c r="R92" s="22"/>
      <c r="S92" s="125"/>
      <c r="T92" s="123"/>
      <c r="U92" s="123">
        <v>0.92708333333333337</v>
      </c>
      <c r="V92" s="21">
        <f>T26</f>
        <v>0</v>
      </c>
      <c r="W92" s="22"/>
      <c r="X92" s="125"/>
      <c r="Y92" s="123"/>
      <c r="Z92" s="123">
        <v>0.92708333333333337</v>
      </c>
      <c r="AA92" s="21">
        <f>Y26</f>
        <v>0</v>
      </c>
      <c r="AB92" s="22"/>
      <c r="AC92" s="125"/>
      <c r="AD92" s="123"/>
      <c r="AE92" s="123">
        <v>0.92708333333333337</v>
      </c>
      <c r="AF92" s="21">
        <f>AD26</f>
        <v>0</v>
      </c>
      <c r="AH92" s="125"/>
      <c r="AI92" s="123"/>
      <c r="AJ92" s="123">
        <v>0.92708333333333337</v>
      </c>
      <c r="AK92" s="21">
        <f>AI26</f>
        <v>0</v>
      </c>
      <c r="AM92" s="125"/>
      <c r="AN92" s="123"/>
      <c r="AO92" s="123">
        <v>0.92708333333333337</v>
      </c>
      <c r="AP92" s="21">
        <f>AN26</f>
        <v>0</v>
      </c>
    </row>
    <row r="93" spans="1:42" x14ac:dyDescent="0.3">
      <c r="A93" s="123">
        <v>0.88541666666666663</v>
      </c>
      <c r="B93" s="133">
        <f t="shared" si="1"/>
        <v>0</v>
      </c>
      <c r="D93" s="125"/>
      <c r="E93" s="123"/>
      <c r="F93" s="123">
        <v>0.9375</v>
      </c>
      <c r="G93" s="21">
        <f>E26</f>
        <v>0</v>
      </c>
      <c r="H93" s="22"/>
      <c r="I93" s="125"/>
      <c r="J93" s="123"/>
      <c r="K93" s="123">
        <v>0.9375</v>
      </c>
      <c r="L93" s="21">
        <f>J26</f>
        <v>0</v>
      </c>
      <c r="M93" s="22"/>
      <c r="N93" s="125"/>
      <c r="O93" s="123"/>
      <c r="P93" s="123">
        <v>0.9375</v>
      </c>
      <c r="Q93" s="21">
        <f>O26</f>
        <v>0</v>
      </c>
      <c r="R93" s="22"/>
      <c r="S93" s="125"/>
      <c r="T93" s="123"/>
      <c r="U93" s="123">
        <v>0.9375</v>
      </c>
      <c r="V93" s="21">
        <f>T26</f>
        <v>0</v>
      </c>
      <c r="W93" s="22"/>
      <c r="X93" s="125"/>
      <c r="Y93" s="123"/>
      <c r="Z93" s="123">
        <v>0.9375</v>
      </c>
      <c r="AA93" s="21">
        <f>Y26</f>
        <v>0</v>
      </c>
      <c r="AB93" s="22"/>
      <c r="AC93" s="125"/>
      <c r="AD93" s="123"/>
      <c r="AE93" s="123">
        <v>0.9375</v>
      </c>
      <c r="AF93" s="21">
        <f>AD26</f>
        <v>0</v>
      </c>
      <c r="AH93" s="125"/>
      <c r="AI93" s="123"/>
      <c r="AJ93" s="123">
        <v>0.9375</v>
      </c>
      <c r="AK93" s="21">
        <f>AI26</f>
        <v>0</v>
      </c>
      <c r="AM93" s="125"/>
      <c r="AN93" s="123"/>
      <c r="AO93" s="123">
        <v>0.9375</v>
      </c>
      <c r="AP93" s="21">
        <f>AN26</f>
        <v>0</v>
      </c>
    </row>
    <row r="94" spans="1:42" x14ac:dyDescent="0.3">
      <c r="A94" s="123">
        <v>0.89583333333333337</v>
      </c>
      <c r="B94" s="133">
        <f t="shared" si="1"/>
        <v>0</v>
      </c>
      <c r="D94" s="125"/>
      <c r="E94" s="123"/>
      <c r="F94" s="123">
        <v>0.94791666666666663</v>
      </c>
      <c r="G94" s="21">
        <f>E26</f>
        <v>0</v>
      </c>
      <c r="H94" s="22"/>
      <c r="I94" s="125"/>
      <c r="J94" s="123"/>
      <c r="K94" s="123">
        <v>0.94791666666666663</v>
      </c>
      <c r="L94" s="21">
        <f>J26</f>
        <v>0</v>
      </c>
      <c r="M94" s="22"/>
      <c r="N94" s="125"/>
      <c r="O94" s="123"/>
      <c r="P94" s="123">
        <v>0.94791666666666663</v>
      </c>
      <c r="Q94" s="21">
        <f>O26</f>
        <v>0</v>
      </c>
      <c r="R94" s="22"/>
      <c r="S94" s="125"/>
      <c r="T94" s="123"/>
      <c r="U94" s="123">
        <v>0.94791666666666663</v>
      </c>
      <c r="V94" s="21">
        <f>T26</f>
        <v>0</v>
      </c>
      <c r="W94" s="22"/>
      <c r="X94" s="125"/>
      <c r="Y94" s="123"/>
      <c r="Z94" s="123">
        <v>0.94791666666666663</v>
      </c>
      <c r="AA94" s="21">
        <f>Y26</f>
        <v>0</v>
      </c>
      <c r="AB94" s="22"/>
      <c r="AC94" s="125"/>
      <c r="AD94" s="123"/>
      <c r="AE94" s="123">
        <v>0.94791666666666663</v>
      </c>
      <c r="AF94" s="21">
        <f>AD26</f>
        <v>0</v>
      </c>
      <c r="AH94" s="125"/>
      <c r="AI94" s="123"/>
      <c r="AJ94" s="123">
        <v>0.94791666666666663</v>
      </c>
      <c r="AK94" s="21">
        <f>AI26</f>
        <v>0</v>
      </c>
      <c r="AM94" s="125"/>
      <c r="AN94" s="123"/>
      <c r="AO94" s="123">
        <v>0.94791666666666663</v>
      </c>
      <c r="AP94" s="21">
        <f>AN26</f>
        <v>0</v>
      </c>
    </row>
    <row r="95" spans="1:42" x14ac:dyDescent="0.3">
      <c r="A95" s="123">
        <v>0.90625</v>
      </c>
      <c r="B95" s="133">
        <f t="shared" si="1"/>
        <v>0</v>
      </c>
      <c r="D95" s="125"/>
      <c r="E95" s="123"/>
      <c r="F95" s="123">
        <v>0.95833333333333337</v>
      </c>
      <c r="G95" s="21">
        <f>E26</f>
        <v>0</v>
      </c>
      <c r="H95" s="22"/>
      <c r="I95" s="125"/>
      <c r="J95" s="123"/>
      <c r="K95" s="123">
        <v>0.95833333333333337</v>
      </c>
      <c r="L95" s="21">
        <f>J26</f>
        <v>0</v>
      </c>
      <c r="M95" s="22"/>
      <c r="N95" s="125"/>
      <c r="O95" s="123"/>
      <c r="P95" s="123">
        <v>0.95833333333333337</v>
      </c>
      <c r="Q95" s="21">
        <f>O26</f>
        <v>0</v>
      </c>
      <c r="R95" s="22"/>
      <c r="S95" s="125"/>
      <c r="T95" s="123"/>
      <c r="U95" s="123">
        <v>0.95833333333333337</v>
      </c>
      <c r="V95" s="21">
        <f>T26</f>
        <v>0</v>
      </c>
      <c r="W95" s="22"/>
      <c r="X95" s="125"/>
      <c r="Y95" s="123"/>
      <c r="Z95" s="123">
        <v>0.95833333333333337</v>
      </c>
      <c r="AA95" s="21">
        <f>Y26</f>
        <v>0</v>
      </c>
      <c r="AB95" s="22"/>
      <c r="AC95" s="125"/>
      <c r="AD95" s="123"/>
      <c r="AE95" s="123">
        <v>0.95833333333333337</v>
      </c>
      <c r="AF95" s="21">
        <f>AD26</f>
        <v>0</v>
      </c>
      <c r="AH95" s="125"/>
      <c r="AI95" s="123"/>
      <c r="AJ95" s="123">
        <v>0.95833333333333337</v>
      </c>
      <c r="AK95" s="21">
        <f>AI26</f>
        <v>0</v>
      </c>
      <c r="AM95" s="125"/>
      <c r="AN95" s="123"/>
      <c r="AO95" s="123">
        <v>0.95833333333333337</v>
      </c>
      <c r="AP95" s="21">
        <f>AN26</f>
        <v>0</v>
      </c>
    </row>
    <row r="96" spans="1:42" x14ac:dyDescent="0.3">
      <c r="A96" s="123">
        <v>0.91666666666666663</v>
      </c>
      <c r="B96" s="133">
        <f t="shared" si="1"/>
        <v>0</v>
      </c>
      <c r="D96" s="125"/>
      <c r="E96" s="123"/>
      <c r="F96" s="123">
        <v>0.96875</v>
      </c>
      <c r="G96" s="21">
        <f>E27</f>
        <v>0</v>
      </c>
      <c r="H96" s="22"/>
      <c r="I96" s="125"/>
      <c r="J96" s="123"/>
      <c r="K96" s="123">
        <v>0.96875</v>
      </c>
      <c r="L96" s="21">
        <f>J27</f>
        <v>0</v>
      </c>
      <c r="M96" s="22"/>
      <c r="N96" s="125"/>
      <c r="O96" s="123"/>
      <c r="P96" s="123">
        <v>0.96875</v>
      </c>
      <c r="Q96" s="21">
        <f>O27</f>
        <v>0</v>
      </c>
      <c r="R96" s="22"/>
      <c r="S96" s="125"/>
      <c r="T96" s="123"/>
      <c r="U96" s="123">
        <v>0.96875</v>
      </c>
      <c r="V96" s="21">
        <f>T27</f>
        <v>0</v>
      </c>
      <c r="W96" s="22"/>
      <c r="X96" s="125"/>
      <c r="Y96" s="123"/>
      <c r="Z96" s="123">
        <v>0.96875</v>
      </c>
      <c r="AA96" s="21">
        <f>Y27</f>
        <v>0</v>
      </c>
      <c r="AB96" s="22"/>
      <c r="AC96" s="125"/>
      <c r="AD96" s="123"/>
      <c r="AE96" s="123">
        <v>0.96875</v>
      </c>
      <c r="AF96" s="21">
        <f>AD27</f>
        <v>0</v>
      </c>
      <c r="AH96" s="125"/>
      <c r="AI96" s="123"/>
      <c r="AJ96" s="123">
        <v>0.96875</v>
      </c>
      <c r="AK96" s="21">
        <f>AI27</f>
        <v>0</v>
      </c>
      <c r="AM96" s="125"/>
      <c r="AN96" s="123"/>
      <c r="AO96" s="123">
        <v>0.96875</v>
      </c>
      <c r="AP96" s="21">
        <f>AN27</f>
        <v>0</v>
      </c>
    </row>
    <row r="97" spans="1:43" x14ac:dyDescent="0.3">
      <c r="A97" s="123">
        <v>0.92708333333333337</v>
      </c>
      <c r="B97" s="133">
        <f t="shared" si="1"/>
        <v>0</v>
      </c>
      <c r="D97" s="125"/>
      <c r="E97" s="123"/>
      <c r="F97" s="123">
        <v>0.97916666666666663</v>
      </c>
      <c r="G97" s="21">
        <f>E27</f>
        <v>0</v>
      </c>
      <c r="H97" s="22"/>
      <c r="I97" s="125"/>
      <c r="J97" s="123"/>
      <c r="K97" s="123">
        <v>0.97916666666666663</v>
      </c>
      <c r="L97" s="21">
        <f>J27</f>
        <v>0</v>
      </c>
      <c r="M97" s="22"/>
      <c r="N97" s="125"/>
      <c r="O97" s="123"/>
      <c r="P97" s="123">
        <v>0.97916666666666663</v>
      </c>
      <c r="Q97" s="21">
        <f>O27</f>
        <v>0</v>
      </c>
      <c r="R97" s="22"/>
      <c r="S97" s="125"/>
      <c r="T97" s="123"/>
      <c r="U97" s="123">
        <v>0.97916666666666663</v>
      </c>
      <c r="V97" s="21">
        <f>T27</f>
        <v>0</v>
      </c>
      <c r="W97" s="22"/>
      <c r="X97" s="125"/>
      <c r="Y97" s="123"/>
      <c r="Z97" s="123">
        <v>0.97916666666666663</v>
      </c>
      <c r="AA97" s="21">
        <f>Y27</f>
        <v>0</v>
      </c>
      <c r="AB97" s="22"/>
      <c r="AC97" s="125"/>
      <c r="AD97" s="123"/>
      <c r="AE97" s="123">
        <v>0.97916666666666663</v>
      </c>
      <c r="AF97" s="21">
        <f>AD27</f>
        <v>0</v>
      </c>
      <c r="AH97" s="125"/>
      <c r="AI97" s="123"/>
      <c r="AJ97" s="123">
        <v>0.97916666666666663</v>
      </c>
      <c r="AK97" s="21">
        <f>AI27</f>
        <v>0</v>
      </c>
      <c r="AM97" s="125"/>
      <c r="AN97" s="123"/>
      <c r="AO97" s="123">
        <v>0.97916666666666663</v>
      </c>
      <c r="AP97" s="21">
        <f>AN27</f>
        <v>0</v>
      </c>
    </row>
    <row r="98" spans="1:43" x14ac:dyDescent="0.3">
      <c r="A98" s="123">
        <v>0.9375</v>
      </c>
      <c r="B98" s="133">
        <f t="shared" si="1"/>
        <v>0</v>
      </c>
      <c r="D98" s="125"/>
      <c r="E98" s="123"/>
      <c r="F98" s="123">
        <v>0.98958333333333337</v>
      </c>
      <c r="G98" s="21">
        <f>E27</f>
        <v>0</v>
      </c>
      <c r="H98" s="22"/>
      <c r="I98" s="125"/>
      <c r="J98" s="123"/>
      <c r="K98" s="123">
        <v>0.98958333333333337</v>
      </c>
      <c r="L98" s="21">
        <f>J27</f>
        <v>0</v>
      </c>
      <c r="M98" s="22"/>
      <c r="N98" s="125"/>
      <c r="O98" s="123"/>
      <c r="P98" s="123">
        <v>0.98958333333333337</v>
      </c>
      <c r="Q98" s="21">
        <f>O27</f>
        <v>0</v>
      </c>
      <c r="R98" s="22"/>
      <c r="S98" s="125"/>
      <c r="T98" s="123"/>
      <c r="U98" s="123">
        <v>0.98958333333333337</v>
      </c>
      <c r="V98" s="21">
        <f>T27</f>
        <v>0</v>
      </c>
      <c r="W98" s="22"/>
      <c r="X98" s="125"/>
      <c r="Y98" s="123"/>
      <c r="Z98" s="123">
        <v>0.98958333333333337</v>
      </c>
      <c r="AA98" s="21">
        <f>Y27</f>
        <v>0</v>
      </c>
      <c r="AB98" s="22"/>
      <c r="AC98" s="125"/>
      <c r="AD98" s="123"/>
      <c r="AE98" s="123">
        <v>0.98958333333333337</v>
      </c>
      <c r="AF98" s="21">
        <f>AD27</f>
        <v>0</v>
      </c>
      <c r="AH98" s="125"/>
      <c r="AI98" s="123"/>
      <c r="AJ98" s="123">
        <v>0.98958333333333337</v>
      </c>
      <c r="AK98" s="21">
        <f>AI27</f>
        <v>0</v>
      </c>
      <c r="AM98" s="125"/>
      <c r="AN98" s="123"/>
      <c r="AO98" s="123">
        <v>0.98958333333333337</v>
      </c>
      <c r="AP98" s="21">
        <f>AN27</f>
        <v>0</v>
      </c>
    </row>
    <row r="99" spans="1:43" x14ac:dyDescent="0.3">
      <c r="A99" s="123">
        <v>0.94791666666666663</v>
      </c>
      <c r="B99" s="133">
        <f t="shared" si="1"/>
        <v>0</v>
      </c>
      <c r="D99" s="126"/>
      <c r="E99" s="124"/>
      <c r="F99" s="124">
        <v>1</v>
      </c>
      <c r="G99" s="28">
        <f>E27</f>
        <v>0</v>
      </c>
      <c r="H99" s="22"/>
      <c r="I99" s="126"/>
      <c r="J99" s="124"/>
      <c r="K99" s="124">
        <v>1</v>
      </c>
      <c r="L99" s="28">
        <f>J27</f>
        <v>0</v>
      </c>
      <c r="M99" s="22"/>
      <c r="N99" s="126"/>
      <c r="O99" s="124"/>
      <c r="P99" s="124">
        <v>1</v>
      </c>
      <c r="Q99" s="28">
        <f>O27</f>
        <v>0</v>
      </c>
      <c r="R99" s="22"/>
      <c r="S99" s="126"/>
      <c r="T99" s="124"/>
      <c r="U99" s="124">
        <v>1</v>
      </c>
      <c r="V99" s="28">
        <f>T27</f>
        <v>0</v>
      </c>
      <c r="W99" s="22"/>
      <c r="X99" s="126"/>
      <c r="Y99" s="124"/>
      <c r="Z99" s="124">
        <v>1</v>
      </c>
      <c r="AA99" s="28">
        <f>Y27</f>
        <v>0</v>
      </c>
      <c r="AB99" s="22"/>
      <c r="AC99" s="126"/>
      <c r="AD99" s="124"/>
      <c r="AE99" s="124">
        <v>1</v>
      </c>
      <c r="AF99" s="28">
        <f>AD27</f>
        <v>0</v>
      </c>
      <c r="AH99" s="126"/>
      <c r="AI99" s="124"/>
      <c r="AJ99" s="124">
        <v>1</v>
      </c>
      <c r="AK99" s="28">
        <f>AI27</f>
        <v>0</v>
      </c>
      <c r="AM99" s="126"/>
      <c r="AN99" s="124"/>
      <c r="AO99" s="124">
        <v>1</v>
      </c>
      <c r="AP99" s="28">
        <f>AN27</f>
        <v>0</v>
      </c>
    </row>
    <row r="100" spans="1:43" x14ac:dyDescent="0.3">
      <c r="A100" s="123">
        <v>0.95833333333333337</v>
      </c>
      <c r="B100" s="133">
        <f t="shared" si="1"/>
        <v>0</v>
      </c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</row>
    <row r="101" spans="1:43" x14ac:dyDescent="0.3">
      <c r="A101" s="123">
        <v>0.96875</v>
      </c>
      <c r="B101" s="133">
        <f t="shared" si="1"/>
        <v>0</v>
      </c>
      <c r="D101" s="22"/>
      <c r="E101" s="22"/>
      <c r="F101" s="22"/>
      <c r="G101" s="129">
        <f>SUM(G4:G99)/4000</f>
        <v>0</v>
      </c>
      <c r="H101" s="176" t="s">
        <v>246</v>
      </c>
      <c r="I101" s="22"/>
      <c r="J101" s="22"/>
      <c r="K101" s="22"/>
      <c r="L101" s="129">
        <f>SUM(L4:L99)/4000</f>
        <v>0</v>
      </c>
      <c r="M101" s="173" t="s">
        <v>246</v>
      </c>
      <c r="N101" s="22"/>
      <c r="O101" s="22"/>
      <c r="P101" s="22"/>
      <c r="Q101" s="129">
        <f>SUM(Q4:Q99)/4000</f>
        <v>5.1877703399999984</v>
      </c>
      <c r="R101" s="173" t="s">
        <v>246</v>
      </c>
      <c r="S101" s="22"/>
      <c r="T101" s="22"/>
      <c r="U101" s="22"/>
      <c r="V101" s="129">
        <f>SUM(V4:V99)/4000</f>
        <v>0</v>
      </c>
      <c r="W101" s="173" t="s">
        <v>246</v>
      </c>
      <c r="X101" s="22"/>
      <c r="Y101" s="22"/>
      <c r="Z101" s="22"/>
      <c r="AA101" s="129">
        <f>SUM(AA4:AA99)/4000</f>
        <v>4.9700473999999994</v>
      </c>
      <c r="AB101" s="173" t="s">
        <v>246</v>
      </c>
      <c r="AC101" s="22"/>
      <c r="AD101" s="22"/>
      <c r="AE101" s="22"/>
      <c r="AF101" s="129">
        <f>SUM(AF4:AF99)/4000</f>
        <v>5.4352477800000001</v>
      </c>
      <c r="AG101" s="173" t="s">
        <v>246</v>
      </c>
      <c r="AK101" s="129">
        <f>SUM(AK4:AK99)/4000</f>
        <v>0</v>
      </c>
      <c r="AL101" s="165" t="s">
        <v>141</v>
      </c>
      <c r="AP101" s="129">
        <f>SUM(AP4:AP99)/4000</f>
        <v>0</v>
      </c>
      <c r="AQ101" s="165" t="s">
        <v>141</v>
      </c>
    </row>
    <row r="102" spans="1:43" x14ac:dyDescent="0.3">
      <c r="A102" s="123">
        <v>0.97916666666666663</v>
      </c>
      <c r="B102" s="133">
        <f t="shared" si="1"/>
        <v>0</v>
      </c>
    </row>
    <row r="103" spans="1:43" x14ac:dyDescent="0.3">
      <c r="A103" s="123">
        <v>0.98958333333333337</v>
      </c>
      <c r="B103" s="133">
        <f t="shared" si="1"/>
        <v>0</v>
      </c>
    </row>
    <row r="104" spans="1:43" x14ac:dyDescent="0.3">
      <c r="A104" s="123">
        <v>1</v>
      </c>
      <c r="B104" s="134">
        <f t="shared" si="1"/>
        <v>0</v>
      </c>
    </row>
    <row r="105" spans="1:43" x14ac:dyDescent="0.3">
      <c r="B105" s="131"/>
    </row>
    <row r="106" spans="1:43" x14ac:dyDescent="0.3">
      <c r="B106" s="170" t="s">
        <v>248</v>
      </c>
    </row>
    <row r="107" spans="1:43" x14ac:dyDescent="0.3">
      <c r="B107" s="156">
        <f>SUM(B9:B104)/4000</f>
        <v>0</v>
      </c>
    </row>
  </sheetData>
  <pageMargins left="0.7" right="0.7" top="0.75" bottom="0.75" header="0.3" footer="0.3"/>
  <ignoredErrors>
    <ignoredError xmlns:x16r3="http://schemas.microsoft.com/office/spreadsheetml/2018/08/main" sqref="AK99 AK79:AK98 AK6:AK78 AP4:AP99" x16r3:misleadingFormat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4A1E0-6368-4CF9-981B-A732CC847250}">
  <sheetPr codeName="Sheet7"/>
  <dimension ref="A2:AQ101"/>
  <sheetViews>
    <sheetView zoomScale="80" zoomScaleNormal="80" workbookViewId="0"/>
  </sheetViews>
  <sheetFormatPr defaultRowHeight="14.4" x14ac:dyDescent="0.3"/>
  <cols>
    <col min="2" max="2" width="26.88671875" bestFit="1" customWidth="1"/>
    <col min="4" max="4" width="6.88671875" bestFit="1" customWidth="1"/>
    <col min="5" max="5" width="12.21875" bestFit="1" customWidth="1"/>
    <col min="6" max="6" width="13.33203125" bestFit="1" customWidth="1"/>
    <col min="7" max="7" width="12.21875" bestFit="1" customWidth="1"/>
    <col min="8" max="8" width="8.77734375" bestFit="1" customWidth="1"/>
    <col min="9" max="9" width="6.33203125" bestFit="1" customWidth="1"/>
    <col min="10" max="10" width="12.21875" bestFit="1" customWidth="1"/>
    <col min="11" max="11" width="11.77734375" bestFit="1" customWidth="1"/>
    <col min="12" max="12" width="12.21875" bestFit="1" customWidth="1"/>
    <col min="13" max="13" width="8.77734375" bestFit="1" customWidth="1"/>
    <col min="14" max="14" width="8.21875" bestFit="1" customWidth="1"/>
    <col min="15" max="15" width="12.21875" bestFit="1" customWidth="1"/>
    <col min="16" max="16" width="11" bestFit="1" customWidth="1"/>
    <col min="17" max="17" width="12.21875" bestFit="1" customWidth="1"/>
    <col min="18" max="18" width="8.77734375" bestFit="1" customWidth="1"/>
    <col min="19" max="19" width="5.5546875" bestFit="1" customWidth="1"/>
    <col min="20" max="20" width="12.21875" bestFit="1" customWidth="1"/>
    <col min="21" max="21" width="14.6640625" bestFit="1" customWidth="1"/>
    <col min="22" max="22" width="12.21875" bestFit="1" customWidth="1"/>
    <col min="23" max="23" width="8.77734375" bestFit="1" customWidth="1"/>
    <col min="24" max="24" width="14.6640625" bestFit="1" customWidth="1"/>
    <col min="25" max="25" width="12.21875" bestFit="1" customWidth="1"/>
    <col min="26" max="26" width="16.77734375" bestFit="1" customWidth="1"/>
    <col min="27" max="27" width="12.21875" bestFit="1" customWidth="1"/>
    <col min="28" max="28" width="8.77734375" bestFit="1" customWidth="1"/>
    <col min="29" max="29" width="16" bestFit="1" customWidth="1"/>
    <col min="30" max="30" width="12.21875" bestFit="1" customWidth="1"/>
    <col min="31" max="31" width="13.77734375" bestFit="1" customWidth="1"/>
    <col min="32" max="32" width="12.21875" bestFit="1" customWidth="1"/>
    <col min="33" max="33" width="8.77734375" bestFit="1" customWidth="1"/>
    <col min="35" max="35" width="12.21875" bestFit="1" customWidth="1"/>
    <col min="36" max="36" width="5.5546875" bestFit="1" customWidth="1"/>
    <col min="37" max="37" width="12.21875" bestFit="1" customWidth="1"/>
    <col min="38" max="38" width="4.88671875" bestFit="1" customWidth="1"/>
    <col min="40" max="40" width="12.21875" bestFit="1" customWidth="1"/>
    <col min="41" max="41" width="5.5546875" bestFit="1" customWidth="1"/>
    <col min="42" max="42" width="12.21875" bestFit="1" customWidth="1"/>
    <col min="43" max="43" width="4.88671875" bestFit="1" customWidth="1"/>
  </cols>
  <sheetData>
    <row r="2" spans="1:42" x14ac:dyDescent="0.3">
      <c r="B2" s="135" t="s">
        <v>222</v>
      </c>
      <c r="D2" s="150" t="s">
        <v>159</v>
      </c>
      <c r="E2" s="153"/>
      <c r="F2" s="164"/>
      <c r="G2" s="155"/>
      <c r="H2" s="22"/>
      <c r="I2" s="150" t="s">
        <v>160</v>
      </c>
      <c r="J2" s="153"/>
      <c r="K2" s="164"/>
      <c r="L2" s="155"/>
      <c r="M2" s="22"/>
      <c r="N2" s="150" t="s">
        <v>161</v>
      </c>
      <c r="O2" s="153"/>
      <c r="P2" s="164"/>
      <c r="Q2" s="155"/>
      <c r="R2" s="22"/>
      <c r="S2" s="150" t="s">
        <v>162</v>
      </c>
      <c r="T2" s="153"/>
      <c r="U2" s="164"/>
      <c r="V2" s="155"/>
      <c r="W2" s="22"/>
      <c r="X2" s="228" t="s">
        <v>163</v>
      </c>
      <c r="Y2" s="229"/>
      <c r="Z2" s="230" t="s">
        <v>276</v>
      </c>
      <c r="AA2" s="231"/>
      <c r="AB2" s="22"/>
      <c r="AC2" s="150" t="s">
        <v>164</v>
      </c>
      <c r="AD2" s="153"/>
      <c r="AE2" s="201" t="s">
        <v>273</v>
      </c>
      <c r="AF2" s="151"/>
      <c r="AH2" s="150" t="s">
        <v>228</v>
      </c>
      <c r="AI2" s="153"/>
      <c r="AJ2" s="154"/>
      <c r="AK2" s="151"/>
      <c r="AM2" s="150" t="s">
        <v>227</v>
      </c>
      <c r="AN2" s="153"/>
      <c r="AO2" s="154"/>
      <c r="AP2" s="151"/>
    </row>
    <row r="3" spans="1:42" x14ac:dyDescent="0.3">
      <c r="B3" s="43">
        <f>'User Interface'!C8</f>
        <v>0</v>
      </c>
      <c r="D3" s="140" t="s">
        <v>226</v>
      </c>
      <c r="E3" s="188" t="s">
        <v>270</v>
      </c>
      <c r="F3" s="141" t="s">
        <v>226</v>
      </c>
      <c r="G3" s="190" t="s">
        <v>270</v>
      </c>
      <c r="H3" s="22"/>
      <c r="I3" s="140" t="s">
        <v>226</v>
      </c>
      <c r="J3" s="188" t="s">
        <v>270</v>
      </c>
      <c r="K3" s="141" t="s">
        <v>226</v>
      </c>
      <c r="L3" s="190" t="s">
        <v>270</v>
      </c>
      <c r="M3" s="22"/>
      <c r="N3" s="140" t="s">
        <v>226</v>
      </c>
      <c r="O3" s="188" t="s">
        <v>270</v>
      </c>
      <c r="P3" s="141" t="s">
        <v>226</v>
      </c>
      <c r="Q3" s="190" t="s">
        <v>270</v>
      </c>
      <c r="R3" s="22"/>
      <c r="S3" s="140" t="s">
        <v>226</v>
      </c>
      <c r="T3" s="188" t="s">
        <v>270</v>
      </c>
      <c r="U3" s="141" t="s">
        <v>226</v>
      </c>
      <c r="V3" s="190" t="s">
        <v>270</v>
      </c>
      <c r="W3" s="22"/>
      <c r="X3" s="140" t="s">
        <v>226</v>
      </c>
      <c r="Y3" s="188" t="s">
        <v>270</v>
      </c>
      <c r="Z3" s="141" t="s">
        <v>226</v>
      </c>
      <c r="AA3" s="190" t="s">
        <v>270</v>
      </c>
      <c r="AB3" s="22"/>
      <c r="AC3" s="140" t="s">
        <v>226</v>
      </c>
      <c r="AD3" s="188" t="s">
        <v>270</v>
      </c>
      <c r="AE3" s="141" t="s">
        <v>226</v>
      </c>
      <c r="AF3" s="190" t="s">
        <v>270</v>
      </c>
      <c r="AH3" s="140" t="s">
        <v>226</v>
      </c>
      <c r="AI3" s="191" t="s">
        <v>270</v>
      </c>
      <c r="AJ3" s="141" t="s">
        <v>226</v>
      </c>
      <c r="AK3" s="190" t="s">
        <v>270</v>
      </c>
      <c r="AM3" s="140" t="s">
        <v>226</v>
      </c>
      <c r="AN3" s="191" t="s">
        <v>270</v>
      </c>
      <c r="AO3" s="141" t="s">
        <v>226</v>
      </c>
      <c r="AP3" s="190" t="s">
        <v>270</v>
      </c>
    </row>
    <row r="4" spans="1:42" x14ac:dyDescent="0.3">
      <c r="D4" s="125">
        <v>4.1666666666666664E-2</v>
      </c>
      <c r="F4" s="123">
        <v>1.0416666666666666E-2</v>
      </c>
      <c r="G4" s="21">
        <f>E4</f>
        <v>0</v>
      </c>
      <c r="H4" s="22"/>
      <c r="I4" s="125">
        <v>4.1666666666666664E-2</v>
      </c>
      <c r="K4" s="123">
        <v>1.0416666666666666E-2</v>
      </c>
      <c r="L4" s="21">
        <f>J4</f>
        <v>0</v>
      </c>
      <c r="M4" s="22"/>
      <c r="N4" s="125">
        <v>4.1666666666666664E-2</v>
      </c>
      <c r="O4">
        <v>23.508333333333333</v>
      </c>
      <c r="P4" s="123">
        <v>1.0416666666666666E-2</v>
      </c>
      <c r="Q4" s="21">
        <f>O4</f>
        <v>23.508333333333333</v>
      </c>
      <c r="R4" s="22"/>
      <c r="S4" s="125">
        <v>4.1666666666666664E-2</v>
      </c>
      <c r="U4" s="123">
        <v>1.0416666666666666E-2</v>
      </c>
      <c r="V4" s="21">
        <f>T4</f>
        <v>0</v>
      </c>
      <c r="W4" s="22"/>
      <c r="X4" s="125">
        <v>4.1666666666666664E-2</v>
      </c>
      <c r="Y4" s="212">
        <v>3.8416666666666663</v>
      </c>
      <c r="Z4" s="123">
        <v>1.0416666666666666E-2</v>
      </c>
      <c r="AA4" s="207">
        <f>Y4</f>
        <v>3.8416666666666663</v>
      </c>
      <c r="AB4" s="22"/>
      <c r="AC4" s="125">
        <v>4.1666666666666664E-2</v>
      </c>
      <c r="AD4" s="224">
        <v>29.258333333333336</v>
      </c>
      <c r="AE4" s="123">
        <v>1.0416666666666666E-2</v>
      </c>
      <c r="AF4" s="207">
        <f>AD4</f>
        <v>29.258333333333336</v>
      </c>
      <c r="AH4" s="125">
        <v>4.1666666666666664E-2</v>
      </c>
      <c r="AJ4" s="123">
        <v>1.0416666666666666E-2</v>
      </c>
      <c r="AK4" s="21">
        <f>AI4</f>
        <v>0</v>
      </c>
      <c r="AM4" s="125">
        <v>4.1666666666666664E-2</v>
      </c>
      <c r="AN4" s="123"/>
      <c r="AO4" s="123">
        <v>1.0416666666666666E-2</v>
      </c>
      <c r="AP4" s="21">
        <f>AN4</f>
        <v>0</v>
      </c>
    </row>
    <row r="5" spans="1:42" x14ac:dyDescent="0.3">
      <c r="A5" s="185" t="s">
        <v>226</v>
      </c>
      <c r="B5" s="186" t="s">
        <v>271</v>
      </c>
      <c r="D5" s="125">
        <v>8.3333333333333329E-2</v>
      </c>
      <c r="F5" s="123">
        <v>2.0833333333333332E-2</v>
      </c>
      <c r="G5" s="21">
        <f>E4</f>
        <v>0</v>
      </c>
      <c r="H5" s="22"/>
      <c r="I5" s="125">
        <v>8.3333333333333329E-2</v>
      </c>
      <c r="K5" s="123">
        <v>2.0833333333333332E-2</v>
      </c>
      <c r="L5" s="21">
        <f>J4</f>
        <v>0</v>
      </c>
      <c r="M5" s="22"/>
      <c r="N5" s="125">
        <v>8.3333333333333329E-2</v>
      </c>
      <c r="O5">
        <v>23.3</v>
      </c>
      <c r="P5" s="123">
        <v>2.0833333333333332E-2</v>
      </c>
      <c r="Q5" s="21">
        <f>O4</f>
        <v>23.508333333333333</v>
      </c>
      <c r="R5" s="22"/>
      <c r="S5" s="125">
        <v>8.3333333333333329E-2</v>
      </c>
      <c r="U5" s="123">
        <v>2.0833333333333332E-2</v>
      </c>
      <c r="V5" s="21">
        <f>T4</f>
        <v>0</v>
      </c>
      <c r="W5" s="22"/>
      <c r="X5" s="125">
        <v>8.3333333333333329E-2</v>
      </c>
      <c r="Y5" s="212">
        <v>3.2166666666666663</v>
      </c>
      <c r="Z5" s="123">
        <v>2.0833333333333332E-2</v>
      </c>
      <c r="AA5" s="207">
        <f>Y4</f>
        <v>3.8416666666666663</v>
      </c>
      <c r="AB5" s="22"/>
      <c r="AC5" s="125">
        <v>8.3333333333333329E-2</v>
      </c>
      <c r="AD5" s="224">
        <v>28.333333333333336</v>
      </c>
      <c r="AE5" s="123">
        <v>2.0833333333333332E-2</v>
      </c>
      <c r="AF5" s="207">
        <f>AD4</f>
        <v>29.258333333333336</v>
      </c>
      <c r="AH5" s="125">
        <v>8.3333333333333329E-2</v>
      </c>
      <c r="AJ5" s="123">
        <v>2.0833333333333332E-2</v>
      </c>
      <c r="AK5" s="21">
        <f>AI4</f>
        <v>0</v>
      </c>
      <c r="AM5" s="125">
        <v>8.3333333333333329E-2</v>
      </c>
      <c r="AN5" s="123"/>
      <c r="AO5" s="123">
        <v>2.0833333333333332E-2</v>
      </c>
      <c r="AP5" s="21">
        <f>AN4</f>
        <v>0</v>
      </c>
    </row>
    <row r="6" spans="1:42" x14ac:dyDescent="0.3">
      <c r="A6" s="123">
        <v>1.0416666666666666E-2</v>
      </c>
      <c r="B6" s="203">
        <f t="shared" ref="B6:B37" si="0">IF($B$3=$D$2,G4,IF($B$3=$I$2,L4,IF($B$3=$N$2,Q4,IF($B$3=$S$2,V4,IF($B$3=$X$2,AA4,IF($B$3=$AC$2,AF4,IF($B$3=$AH$2,AK4,IF($B$3=$AM$2,AP4,0))))))))</f>
        <v>0</v>
      </c>
      <c r="D6" s="125">
        <v>0.125</v>
      </c>
      <c r="F6" s="123">
        <v>3.125E-2</v>
      </c>
      <c r="G6" s="21">
        <f>E4</f>
        <v>0</v>
      </c>
      <c r="H6" s="22"/>
      <c r="I6" s="125">
        <v>0.125</v>
      </c>
      <c r="K6" s="123">
        <v>3.125E-2</v>
      </c>
      <c r="L6" s="21">
        <f>J4</f>
        <v>0</v>
      </c>
      <c r="M6" s="22"/>
      <c r="N6" s="125">
        <v>0.125</v>
      </c>
      <c r="O6">
        <v>23.3</v>
      </c>
      <c r="P6" s="123">
        <v>3.125E-2</v>
      </c>
      <c r="Q6" s="21">
        <f>O4</f>
        <v>23.508333333333333</v>
      </c>
      <c r="R6" s="22"/>
      <c r="S6" s="125">
        <v>0.125</v>
      </c>
      <c r="U6" s="123">
        <v>3.125E-2</v>
      </c>
      <c r="V6" s="21">
        <f>T4</f>
        <v>0</v>
      </c>
      <c r="W6" s="22"/>
      <c r="X6" s="125">
        <v>0.125</v>
      </c>
      <c r="Y6" s="212">
        <v>2.6833333333333327</v>
      </c>
      <c r="Z6" s="123">
        <v>3.125E-2</v>
      </c>
      <c r="AA6" s="207">
        <f>Y4</f>
        <v>3.8416666666666663</v>
      </c>
      <c r="AB6" s="22"/>
      <c r="AC6" s="125">
        <v>0.125</v>
      </c>
      <c r="AD6" s="224">
        <v>26.541666666666671</v>
      </c>
      <c r="AE6" s="123">
        <v>3.125E-2</v>
      </c>
      <c r="AF6" s="207">
        <f>AD4</f>
        <v>29.258333333333336</v>
      </c>
      <c r="AH6" s="125">
        <v>0.125</v>
      </c>
      <c r="AJ6" s="123">
        <v>3.125E-2</v>
      </c>
      <c r="AK6" s="21">
        <f>AI4</f>
        <v>0</v>
      </c>
      <c r="AM6" s="125">
        <v>0.125</v>
      </c>
      <c r="AN6" s="123"/>
      <c r="AO6" s="123">
        <v>3.125E-2</v>
      </c>
      <c r="AP6" s="21">
        <f>AN4</f>
        <v>0</v>
      </c>
    </row>
    <row r="7" spans="1:42" x14ac:dyDescent="0.3">
      <c r="A7" s="123">
        <v>2.0833333333333332E-2</v>
      </c>
      <c r="B7" s="203">
        <f t="shared" si="0"/>
        <v>0</v>
      </c>
      <c r="D7" s="125">
        <v>0.16666666666666699</v>
      </c>
      <c r="F7" s="123">
        <v>4.1666666666666664E-2</v>
      </c>
      <c r="G7" s="21">
        <f>E4</f>
        <v>0</v>
      </c>
      <c r="H7" s="22"/>
      <c r="I7" s="125">
        <v>0.16666666666666699</v>
      </c>
      <c r="K7" s="123">
        <v>4.1666666666666664E-2</v>
      </c>
      <c r="L7" s="21">
        <f>J4</f>
        <v>0</v>
      </c>
      <c r="M7" s="22"/>
      <c r="N7" s="125">
        <v>0.16666666666666699</v>
      </c>
      <c r="O7">
        <v>23.358333333333334</v>
      </c>
      <c r="P7" s="123">
        <v>4.1666666666666664E-2</v>
      </c>
      <c r="Q7" s="21">
        <f>O4</f>
        <v>23.508333333333333</v>
      </c>
      <c r="R7" s="22"/>
      <c r="S7" s="125">
        <v>0.16666666666666699</v>
      </c>
      <c r="U7" s="123">
        <v>4.1666666666666664E-2</v>
      </c>
      <c r="V7" s="21">
        <f>T4</f>
        <v>0</v>
      </c>
      <c r="W7" s="22"/>
      <c r="X7" s="125">
        <v>0.16666666666666699</v>
      </c>
      <c r="Y7" s="212">
        <v>1.6666666666666667</v>
      </c>
      <c r="Z7" s="123">
        <v>4.1666666666666664E-2</v>
      </c>
      <c r="AA7" s="207">
        <f>Y4</f>
        <v>3.8416666666666663</v>
      </c>
      <c r="AB7" s="22"/>
      <c r="AC7" s="125">
        <v>0.16666666666666699</v>
      </c>
      <c r="AD7" s="224">
        <v>25.208333333333336</v>
      </c>
      <c r="AE7" s="123">
        <v>4.1666666666666664E-2</v>
      </c>
      <c r="AF7" s="207">
        <f>AD4</f>
        <v>29.258333333333336</v>
      </c>
      <c r="AH7" s="125">
        <v>0.16666666666666699</v>
      </c>
      <c r="AJ7" s="123">
        <v>4.1666666666666664E-2</v>
      </c>
      <c r="AK7" s="21">
        <f>AI4</f>
        <v>0</v>
      </c>
      <c r="AM7" s="125">
        <v>0.16666666666666699</v>
      </c>
      <c r="AN7" s="123"/>
      <c r="AO7" s="123">
        <v>4.1666666666666664E-2</v>
      </c>
      <c r="AP7" s="21">
        <f>AN4</f>
        <v>0</v>
      </c>
    </row>
    <row r="8" spans="1:42" x14ac:dyDescent="0.3">
      <c r="A8" s="123">
        <v>3.125E-2</v>
      </c>
      <c r="B8" s="203">
        <f t="shared" si="0"/>
        <v>0</v>
      </c>
      <c r="D8" s="125">
        <v>0.20833333333333401</v>
      </c>
      <c r="F8" s="123">
        <v>5.2083333333333336E-2</v>
      </c>
      <c r="G8" s="21">
        <f>E5</f>
        <v>0</v>
      </c>
      <c r="H8" s="22"/>
      <c r="I8" s="125">
        <v>0.20833333333333401</v>
      </c>
      <c r="K8" s="123">
        <v>5.2083333333333336E-2</v>
      </c>
      <c r="L8" s="21">
        <f>J5</f>
        <v>0</v>
      </c>
      <c r="M8" s="22"/>
      <c r="N8" s="125">
        <v>0.20833333333333401</v>
      </c>
      <c r="O8">
        <v>23.691666666666666</v>
      </c>
      <c r="P8" s="123">
        <v>5.2083333333333336E-2</v>
      </c>
      <c r="Q8" s="21">
        <f>O5</f>
        <v>23.3</v>
      </c>
      <c r="R8" s="22"/>
      <c r="S8" s="125">
        <v>0.20833333333333401</v>
      </c>
      <c r="U8" s="123">
        <v>5.2083333333333336E-2</v>
      </c>
      <c r="V8" s="21">
        <f>T5</f>
        <v>0</v>
      </c>
      <c r="W8" s="22"/>
      <c r="X8" s="125">
        <v>0.20833333333333401</v>
      </c>
      <c r="Y8" s="212">
        <v>0.76666666666666816</v>
      </c>
      <c r="Z8" s="123">
        <v>5.2083333333333336E-2</v>
      </c>
      <c r="AA8" s="207">
        <f>Y5</f>
        <v>3.2166666666666663</v>
      </c>
      <c r="AB8" s="22"/>
      <c r="AC8" s="125">
        <v>0.20833333333333401</v>
      </c>
      <c r="AD8" s="224">
        <v>25</v>
      </c>
      <c r="AE8" s="123">
        <v>5.2083333333333336E-2</v>
      </c>
      <c r="AF8" s="207">
        <f>AD5</f>
        <v>28.333333333333336</v>
      </c>
      <c r="AH8" s="125">
        <v>0.20833333333333401</v>
      </c>
      <c r="AJ8" s="123">
        <v>5.2083333333333336E-2</v>
      </c>
      <c r="AK8" s="21">
        <f>AI5</f>
        <v>0</v>
      </c>
      <c r="AM8" s="125">
        <v>0.20833333333333401</v>
      </c>
      <c r="AN8" s="123"/>
      <c r="AO8" s="123">
        <v>5.2083333333333336E-2</v>
      </c>
      <c r="AP8" s="21">
        <f>AN5</f>
        <v>0</v>
      </c>
    </row>
    <row r="9" spans="1:42" x14ac:dyDescent="0.3">
      <c r="A9" s="123">
        <v>4.1666666666666664E-2</v>
      </c>
      <c r="B9" s="203">
        <f t="shared" si="0"/>
        <v>0</v>
      </c>
      <c r="D9" s="125">
        <v>0.25</v>
      </c>
      <c r="F9" s="123">
        <v>6.25E-2</v>
      </c>
      <c r="G9" s="21">
        <f>E5</f>
        <v>0</v>
      </c>
      <c r="H9" s="22"/>
      <c r="I9" s="125">
        <v>0.25</v>
      </c>
      <c r="K9" s="123">
        <v>6.25E-2</v>
      </c>
      <c r="L9" s="21">
        <f>J5</f>
        <v>0</v>
      </c>
      <c r="M9" s="22"/>
      <c r="N9" s="125">
        <v>0.25</v>
      </c>
      <c r="O9">
        <v>23.9</v>
      </c>
      <c r="P9" s="123">
        <v>6.25E-2</v>
      </c>
      <c r="Q9" s="21">
        <f>O5</f>
        <v>23.3</v>
      </c>
      <c r="R9" s="22"/>
      <c r="S9" s="125">
        <v>0.25</v>
      </c>
      <c r="U9" s="123">
        <v>6.25E-2</v>
      </c>
      <c r="V9" s="21">
        <f>T5</f>
        <v>0</v>
      </c>
      <c r="W9" s="22"/>
      <c r="X9" s="125">
        <v>0.25</v>
      </c>
      <c r="Y9" s="212">
        <v>0.59999999999999909</v>
      </c>
      <c r="Z9" s="123">
        <v>6.25E-2</v>
      </c>
      <c r="AA9" s="207">
        <f>Y5</f>
        <v>3.2166666666666663</v>
      </c>
      <c r="AB9" s="22"/>
      <c r="AC9" s="125">
        <v>0.25</v>
      </c>
      <c r="AD9" s="224">
        <v>24.883333333333336</v>
      </c>
      <c r="AE9" s="123">
        <v>6.25E-2</v>
      </c>
      <c r="AF9" s="207">
        <f>AD5</f>
        <v>28.333333333333336</v>
      </c>
      <c r="AH9" s="125">
        <v>0.25</v>
      </c>
      <c r="AJ9" s="123">
        <v>6.25E-2</v>
      </c>
      <c r="AK9" s="21">
        <f>AI5</f>
        <v>0</v>
      </c>
      <c r="AM9" s="125">
        <v>0.25</v>
      </c>
      <c r="AN9" s="123"/>
      <c r="AO9" s="123">
        <v>6.25E-2</v>
      </c>
      <c r="AP9" s="21">
        <f>AN5</f>
        <v>0</v>
      </c>
    </row>
    <row r="10" spans="1:42" x14ac:dyDescent="0.3">
      <c r="A10" s="123">
        <v>5.2083333333333336E-2</v>
      </c>
      <c r="B10" s="203">
        <f t="shared" si="0"/>
        <v>0</v>
      </c>
      <c r="D10" s="125">
        <v>0.29166666666666702</v>
      </c>
      <c r="F10" s="123">
        <v>7.2916666666666671E-2</v>
      </c>
      <c r="G10" s="21">
        <f>E5</f>
        <v>0</v>
      </c>
      <c r="H10" s="22"/>
      <c r="I10" s="125">
        <v>0.29166666666666702</v>
      </c>
      <c r="K10" s="123">
        <v>7.2916666666666671E-2</v>
      </c>
      <c r="L10" s="21">
        <f>J5</f>
        <v>0</v>
      </c>
      <c r="M10" s="22"/>
      <c r="N10" s="125">
        <v>0.29166666666666702</v>
      </c>
      <c r="O10">
        <v>24.541666666666668</v>
      </c>
      <c r="P10" s="123">
        <v>7.2916666666666671E-2</v>
      </c>
      <c r="Q10" s="21">
        <f>O5</f>
        <v>23.3</v>
      </c>
      <c r="R10" s="22"/>
      <c r="S10" s="125">
        <v>0.29166666666666702</v>
      </c>
      <c r="U10" s="123">
        <v>7.2916666666666671E-2</v>
      </c>
      <c r="V10" s="21">
        <f>T5</f>
        <v>0</v>
      </c>
      <c r="W10" s="22"/>
      <c r="X10" s="125">
        <v>0.29166666666666702</v>
      </c>
      <c r="Y10" s="212">
        <v>0.59999999999999909</v>
      </c>
      <c r="Z10" s="123">
        <v>7.2916666666666671E-2</v>
      </c>
      <c r="AA10" s="207">
        <f>Y5</f>
        <v>3.2166666666666663</v>
      </c>
      <c r="AB10" s="22"/>
      <c r="AC10" s="125">
        <v>0.29166666666666702</v>
      </c>
      <c r="AD10" s="224">
        <v>25.558333333333334</v>
      </c>
      <c r="AE10" s="123">
        <v>7.2916666666666671E-2</v>
      </c>
      <c r="AF10" s="207">
        <f>AD5</f>
        <v>28.333333333333336</v>
      </c>
      <c r="AH10" s="125">
        <v>0.29166666666666702</v>
      </c>
      <c r="AJ10" s="123">
        <v>7.2916666666666671E-2</v>
      </c>
      <c r="AK10" s="21">
        <f>AI5</f>
        <v>0</v>
      </c>
      <c r="AM10" s="125">
        <v>0.29166666666666702</v>
      </c>
      <c r="AN10" s="123"/>
      <c r="AO10" s="123">
        <v>7.2916666666666671E-2</v>
      </c>
      <c r="AP10" s="21">
        <f>AN5</f>
        <v>0</v>
      </c>
    </row>
    <row r="11" spans="1:42" x14ac:dyDescent="0.3">
      <c r="A11" s="123">
        <v>6.25E-2</v>
      </c>
      <c r="B11" s="203">
        <f t="shared" si="0"/>
        <v>0</v>
      </c>
      <c r="D11" s="125">
        <v>0.33333333333333398</v>
      </c>
      <c r="F11" s="123">
        <v>8.3333333333333329E-2</v>
      </c>
      <c r="G11" s="21">
        <f>E5</f>
        <v>0</v>
      </c>
      <c r="H11" s="22"/>
      <c r="I11" s="125">
        <v>0.33333333333333398</v>
      </c>
      <c r="K11" s="123">
        <v>8.3333333333333329E-2</v>
      </c>
      <c r="L11" s="21">
        <f>J5</f>
        <v>0</v>
      </c>
      <c r="M11" s="22"/>
      <c r="N11" s="125">
        <v>0.33333333333333398</v>
      </c>
      <c r="O11">
        <v>25.058333333333337</v>
      </c>
      <c r="P11" s="123">
        <v>8.3333333333333329E-2</v>
      </c>
      <c r="Q11" s="21">
        <f>O5</f>
        <v>23.3</v>
      </c>
      <c r="R11" s="22"/>
      <c r="S11" s="125">
        <v>0.33333333333333398</v>
      </c>
      <c r="U11" s="123">
        <v>8.3333333333333329E-2</v>
      </c>
      <c r="V11" s="21">
        <f>T5</f>
        <v>0</v>
      </c>
      <c r="W11" s="22"/>
      <c r="X11" s="125">
        <v>0.33333333333333398</v>
      </c>
      <c r="Y11" s="212">
        <v>0.7750000000000018</v>
      </c>
      <c r="Z11" s="123">
        <v>8.3333333333333329E-2</v>
      </c>
      <c r="AA11" s="207">
        <f>Y5</f>
        <v>3.2166666666666663</v>
      </c>
      <c r="AB11" s="22"/>
      <c r="AC11" s="125">
        <v>0.33333333333333398</v>
      </c>
      <c r="AD11" s="224">
        <v>25.983333333333331</v>
      </c>
      <c r="AE11" s="123">
        <v>8.3333333333333329E-2</v>
      </c>
      <c r="AF11" s="207">
        <f>AD5</f>
        <v>28.333333333333336</v>
      </c>
      <c r="AH11" s="125">
        <v>0.33333333333333398</v>
      </c>
      <c r="AJ11" s="123">
        <v>8.3333333333333329E-2</v>
      </c>
      <c r="AK11" s="21">
        <f>AI5</f>
        <v>0</v>
      </c>
      <c r="AM11" s="125">
        <v>0.33333333333333398</v>
      </c>
      <c r="AN11" s="123"/>
      <c r="AO11" s="123">
        <v>8.3333333333333329E-2</v>
      </c>
      <c r="AP11" s="21">
        <f>AN5</f>
        <v>0</v>
      </c>
    </row>
    <row r="12" spans="1:42" x14ac:dyDescent="0.3">
      <c r="A12" s="123">
        <v>7.2916666666666671E-2</v>
      </c>
      <c r="B12" s="203">
        <f t="shared" si="0"/>
        <v>0</v>
      </c>
      <c r="D12" s="125">
        <v>0.375</v>
      </c>
      <c r="F12" s="123">
        <v>9.375E-2</v>
      </c>
      <c r="G12" s="21">
        <f>E6</f>
        <v>0</v>
      </c>
      <c r="H12" s="22"/>
      <c r="I12" s="125">
        <v>0.375</v>
      </c>
      <c r="K12" s="123">
        <v>9.375E-2</v>
      </c>
      <c r="L12" s="21">
        <f>J6</f>
        <v>0</v>
      </c>
      <c r="M12" s="22"/>
      <c r="N12" s="125">
        <v>0.375</v>
      </c>
      <c r="O12">
        <v>25.916666666666671</v>
      </c>
      <c r="P12" s="123">
        <v>9.375E-2</v>
      </c>
      <c r="Q12" s="21">
        <f>O6</f>
        <v>23.3</v>
      </c>
      <c r="R12" s="22"/>
      <c r="S12" s="125">
        <v>0.375</v>
      </c>
      <c r="U12" s="123">
        <v>9.375E-2</v>
      </c>
      <c r="V12" s="21">
        <f>T6</f>
        <v>0</v>
      </c>
      <c r="W12" s="22"/>
      <c r="X12" s="125">
        <v>0.375</v>
      </c>
      <c r="Y12" s="212">
        <v>2.1250000000000018</v>
      </c>
      <c r="Z12" s="123">
        <v>9.375E-2</v>
      </c>
      <c r="AA12" s="207">
        <f>Y6</f>
        <v>2.6833333333333327</v>
      </c>
      <c r="AB12" s="22"/>
      <c r="AC12" s="125">
        <v>0.375</v>
      </c>
      <c r="AD12" s="224">
        <v>27.183333333333337</v>
      </c>
      <c r="AE12" s="123">
        <v>9.375E-2</v>
      </c>
      <c r="AF12" s="207">
        <f>AD6</f>
        <v>26.541666666666671</v>
      </c>
      <c r="AH12" s="125">
        <v>0.375</v>
      </c>
      <c r="AJ12" s="123">
        <v>9.375E-2</v>
      </c>
      <c r="AK12" s="21">
        <f>AI6</f>
        <v>0</v>
      </c>
      <c r="AM12" s="125">
        <v>0.375</v>
      </c>
      <c r="AN12" s="123"/>
      <c r="AO12" s="123">
        <v>9.375E-2</v>
      </c>
      <c r="AP12" s="21">
        <f>AN6</f>
        <v>0</v>
      </c>
    </row>
    <row r="13" spans="1:42" x14ac:dyDescent="0.3">
      <c r="A13" s="123">
        <v>8.3333333333333329E-2</v>
      </c>
      <c r="B13" s="203">
        <f t="shared" si="0"/>
        <v>0</v>
      </c>
      <c r="D13" s="125">
        <v>0.41666666666666702</v>
      </c>
      <c r="F13" s="123">
        <v>0.10416666666666667</v>
      </c>
      <c r="G13" s="21">
        <f>E6</f>
        <v>0</v>
      </c>
      <c r="H13" s="22"/>
      <c r="I13" s="125">
        <v>0.41666666666666702</v>
      </c>
      <c r="K13" s="123">
        <v>0.10416666666666667</v>
      </c>
      <c r="L13" s="21">
        <f>J6</f>
        <v>0</v>
      </c>
      <c r="M13" s="22"/>
      <c r="N13" s="125">
        <v>0.41666666666666702</v>
      </c>
      <c r="O13">
        <v>28.016666666666673</v>
      </c>
      <c r="P13" s="123">
        <v>0.10416666666666667</v>
      </c>
      <c r="Q13" s="21">
        <f>O6</f>
        <v>23.3</v>
      </c>
      <c r="R13" s="22"/>
      <c r="S13" s="125">
        <v>0.41666666666666702</v>
      </c>
      <c r="U13" s="123">
        <v>0.10416666666666667</v>
      </c>
      <c r="V13" s="21">
        <f>T6</f>
        <v>0</v>
      </c>
      <c r="W13" s="22"/>
      <c r="X13" s="125">
        <v>0.41666666666666702</v>
      </c>
      <c r="Y13" s="212">
        <v>3.8750000000000009</v>
      </c>
      <c r="Z13" s="123">
        <v>0.10416666666666667</v>
      </c>
      <c r="AA13" s="207">
        <f>Y6</f>
        <v>2.6833333333333327</v>
      </c>
      <c r="AB13" s="22"/>
      <c r="AC13" s="125">
        <v>0.41666666666666702</v>
      </c>
      <c r="AD13" s="224">
        <v>29.266666666666673</v>
      </c>
      <c r="AE13" s="123">
        <v>0.10416666666666667</v>
      </c>
      <c r="AF13" s="207">
        <f>AD6</f>
        <v>26.541666666666671</v>
      </c>
      <c r="AH13" s="125">
        <v>0.41666666666666702</v>
      </c>
      <c r="AJ13" s="123">
        <v>0.10416666666666667</v>
      </c>
      <c r="AK13" s="21">
        <f>AI6</f>
        <v>0</v>
      </c>
      <c r="AM13" s="125">
        <v>0.41666666666666702</v>
      </c>
      <c r="AN13" s="123"/>
      <c r="AO13" s="123">
        <v>0.10416666666666667</v>
      </c>
      <c r="AP13" s="21">
        <f>AN6</f>
        <v>0</v>
      </c>
    </row>
    <row r="14" spans="1:42" x14ac:dyDescent="0.3">
      <c r="A14" s="123">
        <v>9.375E-2</v>
      </c>
      <c r="B14" s="203">
        <f t="shared" si="0"/>
        <v>0</v>
      </c>
      <c r="D14" s="125">
        <v>0.45833333333333398</v>
      </c>
      <c r="F14" s="123">
        <v>0.11458333333333333</v>
      </c>
      <c r="G14" s="21">
        <f>E6</f>
        <v>0</v>
      </c>
      <c r="H14" s="22"/>
      <c r="I14" s="125">
        <v>0.45833333333333398</v>
      </c>
      <c r="K14" s="123">
        <v>0.11458333333333333</v>
      </c>
      <c r="L14" s="21">
        <f>J6</f>
        <v>0</v>
      </c>
      <c r="M14" s="22"/>
      <c r="N14" s="125">
        <v>0.45833333333333398</v>
      </c>
      <c r="O14">
        <v>30.033333333333335</v>
      </c>
      <c r="P14" s="123">
        <v>0.11458333333333333</v>
      </c>
      <c r="Q14" s="21">
        <f>O6</f>
        <v>23.3</v>
      </c>
      <c r="R14" s="22"/>
      <c r="S14" s="125">
        <v>0.45833333333333398</v>
      </c>
      <c r="U14" s="123">
        <v>0.11458333333333333</v>
      </c>
      <c r="V14" s="21">
        <f>T6</f>
        <v>0</v>
      </c>
      <c r="W14" s="22"/>
      <c r="X14" s="125">
        <v>0.45833333333333398</v>
      </c>
      <c r="Y14" s="212">
        <v>5.2583333333333355</v>
      </c>
      <c r="Z14" s="123">
        <v>0.11458333333333333</v>
      </c>
      <c r="AA14" s="207">
        <f>Y6</f>
        <v>2.6833333333333327</v>
      </c>
      <c r="AB14" s="22"/>
      <c r="AC14" s="125">
        <v>0.45833333333333398</v>
      </c>
      <c r="AD14" s="224">
        <v>30.741666666666664</v>
      </c>
      <c r="AE14" s="123">
        <v>0.11458333333333333</v>
      </c>
      <c r="AF14" s="207">
        <f>AD6</f>
        <v>26.541666666666671</v>
      </c>
      <c r="AH14" s="125">
        <v>0.45833333333333398</v>
      </c>
      <c r="AJ14" s="123">
        <v>0.11458333333333333</v>
      </c>
      <c r="AK14" s="21">
        <f>AI6</f>
        <v>0</v>
      </c>
      <c r="AM14" s="125">
        <v>0.45833333333333398</v>
      </c>
      <c r="AN14" s="123"/>
      <c r="AO14" s="123">
        <v>0.11458333333333333</v>
      </c>
      <c r="AP14" s="21">
        <f>AN6</f>
        <v>0</v>
      </c>
    </row>
    <row r="15" spans="1:42" x14ac:dyDescent="0.3">
      <c r="A15" s="123">
        <v>0.10416666666666667</v>
      </c>
      <c r="B15" s="203">
        <f t="shared" si="0"/>
        <v>0</v>
      </c>
      <c r="D15" s="125">
        <v>0.5</v>
      </c>
      <c r="F15" s="123">
        <v>0.125</v>
      </c>
      <c r="G15" s="21">
        <f>E6</f>
        <v>0</v>
      </c>
      <c r="H15" s="22"/>
      <c r="I15" s="125">
        <v>0.5</v>
      </c>
      <c r="K15" s="123">
        <v>0.125</v>
      </c>
      <c r="L15" s="21">
        <f>J6</f>
        <v>0</v>
      </c>
      <c r="M15" s="22"/>
      <c r="N15" s="125">
        <v>0.5</v>
      </c>
      <c r="O15">
        <v>30.991666666666667</v>
      </c>
      <c r="P15" s="123">
        <v>0.125</v>
      </c>
      <c r="Q15" s="21">
        <f>O6</f>
        <v>23.3</v>
      </c>
      <c r="R15" s="22"/>
      <c r="S15" s="125">
        <v>0.5</v>
      </c>
      <c r="U15" s="123">
        <v>0.125</v>
      </c>
      <c r="V15" s="21">
        <f>T6</f>
        <v>0</v>
      </c>
      <c r="W15" s="22"/>
      <c r="X15" s="125">
        <v>0.5</v>
      </c>
      <c r="Y15" s="212">
        <v>6.3249999999999993</v>
      </c>
      <c r="Z15" s="123">
        <v>0.125</v>
      </c>
      <c r="AA15" s="207">
        <f>Y6</f>
        <v>2.6833333333333327</v>
      </c>
      <c r="AB15" s="22"/>
      <c r="AC15" s="125">
        <v>0.5</v>
      </c>
      <c r="AD15" s="224">
        <v>31.841666666666669</v>
      </c>
      <c r="AE15" s="123">
        <v>0.125</v>
      </c>
      <c r="AF15" s="207">
        <f>AD6</f>
        <v>26.541666666666671</v>
      </c>
      <c r="AH15" s="125">
        <v>0.5</v>
      </c>
      <c r="AJ15" s="123">
        <v>0.125</v>
      </c>
      <c r="AK15" s="21">
        <f>AI6</f>
        <v>0</v>
      </c>
      <c r="AM15" s="125">
        <v>0.5</v>
      </c>
      <c r="AN15" s="123"/>
      <c r="AO15" s="123">
        <v>0.125</v>
      </c>
      <c r="AP15" s="21">
        <f>AN6</f>
        <v>0</v>
      </c>
    </row>
    <row r="16" spans="1:42" x14ac:dyDescent="0.3">
      <c r="A16" s="123">
        <v>0.11458333333333333</v>
      </c>
      <c r="B16" s="203">
        <f t="shared" si="0"/>
        <v>0</v>
      </c>
      <c r="D16" s="125">
        <v>0.54166666666666696</v>
      </c>
      <c r="F16" s="123">
        <v>0.13541666666666666</v>
      </c>
      <c r="G16" s="21">
        <f>E7</f>
        <v>0</v>
      </c>
      <c r="H16" s="22"/>
      <c r="I16" s="125">
        <v>0.54166666666666696</v>
      </c>
      <c r="K16" s="123">
        <v>0.13541666666666666</v>
      </c>
      <c r="L16" s="21">
        <f>J7</f>
        <v>0</v>
      </c>
      <c r="M16" s="22"/>
      <c r="N16" s="125">
        <v>0.54166666666666696</v>
      </c>
      <c r="O16">
        <v>31.491666666666671</v>
      </c>
      <c r="P16" s="123">
        <v>0.13541666666666666</v>
      </c>
      <c r="Q16" s="21">
        <f>O7</f>
        <v>23.358333333333334</v>
      </c>
      <c r="R16" s="22"/>
      <c r="S16" s="125">
        <v>0.54166666666666696</v>
      </c>
      <c r="U16" s="123">
        <v>0.13541666666666666</v>
      </c>
      <c r="V16" s="21">
        <f>T7</f>
        <v>0</v>
      </c>
      <c r="W16" s="22"/>
      <c r="X16" s="125">
        <v>0.54166666666666696</v>
      </c>
      <c r="Y16" s="212">
        <v>7.6916666666666664</v>
      </c>
      <c r="Z16" s="123">
        <v>0.13541666666666666</v>
      </c>
      <c r="AA16" s="207">
        <f>Y7</f>
        <v>1.6666666666666667</v>
      </c>
      <c r="AB16" s="22"/>
      <c r="AC16" s="125">
        <v>0.54166666666666696</v>
      </c>
      <c r="AD16" s="224">
        <v>33.875</v>
      </c>
      <c r="AE16" s="123">
        <v>0.13541666666666666</v>
      </c>
      <c r="AF16" s="207">
        <f>AD7</f>
        <v>25.208333333333336</v>
      </c>
      <c r="AH16" s="125">
        <v>0.54166666666666696</v>
      </c>
      <c r="AJ16" s="123">
        <v>0.13541666666666666</v>
      </c>
      <c r="AK16" s="21">
        <f>AI7</f>
        <v>0</v>
      </c>
      <c r="AM16" s="125">
        <v>0.54166666666666696</v>
      </c>
      <c r="AN16" s="123"/>
      <c r="AO16" s="123">
        <v>0.13541666666666666</v>
      </c>
      <c r="AP16" s="21">
        <f>AN7</f>
        <v>0</v>
      </c>
    </row>
    <row r="17" spans="1:42" x14ac:dyDescent="0.3">
      <c r="A17" s="123">
        <v>0.125</v>
      </c>
      <c r="B17" s="203">
        <f t="shared" si="0"/>
        <v>0</v>
      </c>
      <c r="D17" s="125">
        <v>0.58333333333333404</v>
      </c>
      <c r="F17" s="123">
        <v>0.14583333333333334</v>
      </c>
      <c r="G17" s="21">
        <f>E7</f>
        <v>0</v>
      </c>
      <c r="H17" s="22"/>
      <c r="I17" s="125">
        <v>0.58333333333333404</v>
      </c>
      <c r="K17" s="123">
        <v>0.14583333333333334</v>
      </c>
      <c r="L17" s="21">
        <f>J7</f>
        <v>0</v>
      </c>
      <c r="M17" s="22"/>
      <c r="N17" s="125">
        <v>0.58333333333333404</v>
      </c>
      <c r="O17">
        <v>32.633333333333333</v>
      </c>
      <c r="P17" s="123">
        <v>0.14583333333333334</v>
      </c>
      <c r="Q17" s="21">
        <f>O7</f>
        <v>23.358333333333334</v>
      </c>
      <c r="R17" s="22"/>
      <c r="S17" s="125">
        <v>0.58333333333333404</v>
      </c>
      <c r="U17" s="123">
        <v>0.14583333333333334</v>
      </c>
      <c r="V17" s="21">
        <f>T7</f>
        <v>0</v>
      </c>
      <c r="W17" s="22"/>
      <c r="X17" s="125">
        <v>0.58333333333333404</v>
      </c>
      <c r="Y17" s="212">
        <v>8.75</v>
      </c>
      <c r="Z17" s="123">
        <v>0.14583333333333334</v>
      </c>
      <c r="AA17" s="207">
        <f>Y7</f>
        <v>1.6666666666666667</v>
      </c>
      <c r="AB17" s="22"/>
      <c r="AC17" s="125">
        <v>0.58333333333333404</v>
      </c>
      <c r="AD17" s="224">
        <v>34.475000000000009</v>
      </c>
      <c r="AE17" s="123">
        <v>0.14583333333333334</v>
      </c>
      <c r="AF17" s="207">
        <f>AD7</f>
        <v>25.208333333333336</v>
      </c>
      <c r="AH17" s="125">
        <v>0.58333333333333404</v>
      </c>
      <c r="AJ17" s="123">
        <v>0.14583333333333334</v>
      </c>
      <c r="AK17" s="21">
        <f>AI7</f>
        <v>0</v>
      </c>
      <c r="AM17" s="125">
        <v>0.58333333333333404</v>
      </c>
      <c r="AN17" s="123"/>
      <c r="AO17" s="123">
        <v>0.14583333333333334</v>
      </c>
      <c r="AP17" s="21">
        <f>AN7</f>
        <v>0</v>
      </c>
    </row>
    <row r="18" spans="1:42" x14ac:dyDescent="0.3">
      <c r="A18" s="123">
        <v>0.13541666666666666</v>
      </c>
      <c r="B18" s="203">
        <f t="shared" si="0"/>
        <v>0</v>
      </c>
      <c r="D18" s="125">
        <v>0.625</v>
      </c>
      <c r="F18" s="123">
        <v>0.15625</v>
      </c>
      <c r="G18" s="21">
        <f>E7</f>
        <v>0</v>
      </c>
      <c r="H18" s="22"/>
      <c r="I18" s="125">
        <v>0.625</v>
      </c>
      <c r="K18" s="123">
        <v>0.15625</v>
      </c>
      <c r="L18" s="21">
        <f>J7</f>
        <v>0</v>
      </c>
      <c r="M18" s="22"/>
      <c r="N18" s="125">
        <v>0.625</v>
      </c>
      <c r="O18">
        <v>33.358333333333334</v>
      </c>
      <c r="P18" s="123">
        <v>0.15625</v>
      </c>
      <c r="Q18" s="21">
        <f>O7</f>
        <v>23.358333333333334</v>
      </c>
      <c r="R18" s="22"/>
      <c r="S18" s="125">
        <v>0.625</v>
      </c>
      <c r="U18" s="123">
        <v>0.15625</v>
      </c>
      <c r="V18" s="21">
        <f>T7</f>
        <v>0</v>
      </c>
      <c r="W18" s="22"/>
      <c r="X18" s="125">
        <v>0.625</v>
      </c>
      <c r="Y18" s="212">
        <v>9.2333333333333325</v>
      </c>
      <c r="Z18" s="123">
        <v>0.15625</v>
      </c>
      <c r="AA18" s="207">
        <f>Y7</f>
        <v>1.6666666666666667</v>
      </c>
      <c r="AB18" s="22"/>
      <c r="AC18" s="125">
        <v>0.625</v>
      </c>
      <c r="AD18" s="224">
        <v>35.033333333333339</v>
      </c>
      <c r="AE18" s="123">
        <v>0.15625</v>
      </c>
      <c r="AF18" s="207">
        <f>AD7</f>
        <v>25.208333333333336</v>
      </c>
      <c r="AH18" s="125">
        <v>0.625</v>
      </c>
      <c r="AJ18" s="123">
        <v>0.15625</v>
      </c>
      <c r="AK18" s="21">
        <f>AI7</f>
        <v>0</v>
      </c>
      <c r="AM18" s="125">
        <v>0.625</v>
      </c>
      <c r="AN18" s="123"/>
      <c r="AO18" s="123">
        <v>0.15625</v>
      </c>
      <c r="AP18" s="21">
        <f>AN7</f>
        <v>0</v>
      </c>
    </row>
    <row r="19" spans="1:42" x14ac:dyDescent="0.3">
      <c r="A19" s="123">
        <v>0.14583333333333334</v>
      </c>
      <c r="B19" s="203">
        <f t="shared" si="0"/>
        <v>0</v>
      </c>
      <c r="D19" s="125">
        <v>0.66666666666666696</v>
      </c>
      <c r="F19" s="123">
        <v>0.16666666666666666</v>
      </c>
      <c r="G19" s="21">
        <f>E7</f>
        <v>0</v>
      </c>
      <c r="H19" s="22"/>
      <c r="I19" s="125">
        <v>0.66666666666666696</v>
      </c>
      <c r="K19" s="123">
        <v>0.16666666666666666</v>
      </c>
      <c r="L19" s="21">
        <f>J7</f>
        <v>0</v>
      </c>
      <c r="M19" s="22"/>
      <c r="N19" s="125">
        <v>0.66666666666666696</v>
      </c>
      <c r="O19">
        <v>33.983333333333334</v>
      </c>
      <c r="P19" s="123">
        <v>0.16666666666666666</v>
      </c>
      <c r="Q19" s="21">
        <f>O7</f>
        <v>23.358333333333334</v>
      </c>
      <c r="R19" s="22"/>
      <c r="S19" s="125">
        <v>0.66666666666666696</v>
      </c>
      <c r="U19" s="123">
        <v>0.16666666666666666</v>
      </c>
      <c r="V19" s="21">
        <f>T7</f>
        <v>0</v>
      </c>
      <c r="W19" s="22"/>
      <c r="X19" s="125">
        <v>0.66666666666666696</v>
      </c>
      <c r="Y19" s="212">
        <v>9.341666666666665</v>
      </c>
      <c r="Z19" s="123">
        <v>0.16666666666666666</v>
      </c>
      <c r="AA19" s="207">
        <f>Y7</f>
        <v>1.6666666666666667</v>
      </c>
      <c r="AB19" s="22"/>
      <c r="AC19" s="125">
        <v>0.66666666666666696</v>
      </c>
      <c r="AD19" s="224">
        <v>35.991666666666667</v>
      </c>
      <c r="AE19" s="123">
        <v>0.16666666666666666</v>
      </c>
      <c r="AF19" s="207">
        <f>AD7</f>
        <v>25.208333333333336</v>
      </c>
      <c r="AH19" s="125">
        <v>0.66666666666666696</v>
      </c>
      <c r="AJ19" s="123">
        <v>0.16666666666666666</v>
      </c>
      <c r="AK19" s="21">
        <f>AI7</f>
        <v>0</v>
      </c>
      <c r="AM19" s="125">
        <v>0.66666666666666696</v>
      </c>
      <c r="AN19" s="123"/>
      <c r="AO19" s="123">
        <v>0.16666666666666666</v>
      </c>
      <c r="AP19" s="21">
        <f>AN7</f>
        <v>0</v>
      </c>
    </row>
    <row r="20" spans="1:42" x14ac:dyDescent="0.3">
      <c r="A20" s="123">
        <v>0.15625</v>
      </c>
      <c r="B20" s="203">
        <f t="shared" si="0"/>
        <v>0</v>
      </c>
      <c r="D20" s="125">
        <v>0.70833333333333404</v>
      </c>
      <c r="F20" s="123">
        <v>0.17708333333333334</v>
      </c>
      <c r="G20" s="21">
        <f>E8</f>
        <v>0</v>
      </c>
      <c r="H20" s="22"/>
      <c r="I20" s="125">
        <v>0.70833333333333404</v>
      </c>
      <c r="K20" s="123">
        <v>0.17708333333333334</v>
      </c>
      <c r="L20" s="21">
        <f>J8</f>
        <v>0</v>
      </c>
      <c r="M20" s="22"/>
      <c r="N20" s="125">
        <v>0.70833333333333404</v>
      </c>
      <c r="O20">
        <v>34.400000000000006</v>
      </c>
      <c r="P20" s="123">
        <v>0.17708333333333334</v>
      </c>
      <c r="Q20" s="21">
        <f>O8</f>
        <v>23.691666666666666</v>
      </c>
      <c r="R20" s="22"/>
      <c r="S20" s="125">
        <v>0.70833333333333404</v>
      </c>
      <c r="U20" s="123">
        <v>0.17708333333333334</v>
      </c>
      <c r="V20" s="21">
        <f>T8</f>
        <v>0</v>
      </c>
      <c r="W20" s="22"/>
      <c r="X20" s="125">
        <v>0.70833333333333404</v>
      </c>
      <c r="Y20" s="212">
        <v>8.5999999999999979</v>
      </c>
      <c r="Z20" s="123">
        <v>0.17708333333333334</v>
      </c>
      <c r="AA20" s="207">
        <f>Y8</f>
        <v>0.76666666666666816</v>
      </c>
      <c r="AB20" s="22"/>
      <c r="AC20" s="125">
        <v>0.70833333333333404</v>
      </c>
      <c r="AD20" s="224">
        <v>36.491666666666667</v>
      </c>
      <c r="AE20" s="123">
        <v>0.17708333333333334</v>
      </c>
      <c r="AF20" s="207">
        <f>AD8</f>
        <v>25</v>
      </c>
      <c r="AH20" s="125">
        <v>0.70833333333333404</v>
      </c>
      <c r="AJ20" s="123">
        <v>0.17708333333333334</v>
      </c>
      <c r="AK20" s="21">
        <f>AI8</f>
        <v>0</v>
      </c>
      <c r="AM20" s="125">
        <v>0.70833333333333404</v>
      </c>
      <c r="AN20" s="123"/>
      <c r="AO20" s="123">
        <v>0.17708333333333334</v>
      </c>
      <c r="AP20" s="21">
        <f>AN8</f>
        <v>0</v>
      </c>
    </row>
    <row r="21" spans="1:42" x14ac:dyDescent="0.3">
      <c r="A21" s="123">
        <v>0.16666666666666666</v>
      </c>
      <c r="B21" s="203">
        <f t="shared" si="0"/>
        <v>0</v>
      </c>
      <c r="D21" s="125">
        <v>0.75</v>
      </c>
      <c r="F21" s="123">
        <v>0.1875</v>
      </c>
      <c r="G21" s="21">
        <f>E8</f>
        <v>0</v>
      </c>
      <c r="H21" s="22"/>
      <c r="I21" s="125">
        <v>0.75</v>
      </c>
      <c r="K21" s="123">
        <v>0.1875</v>
      </c>
      <c r="L21" s="21">
        <f>J8</f>
        <v>0</v>
      </c>
      <c r="M21" s="22"/>
      <c r="N21" s="125">
        <v>0.75</v>
      </c>
      <c r="O21">
        <v>34.400000000000006</v>
      </c>
      <c r="P21" s="123">
        <v>0.1875</v>
      </c>
      <c r="Q21" s="21">
        <f>O8</f>
        <v>23.691666666666666</v>
      </c>
      <c r="R21" s="22"/>
      <c r="S21" s="125">
        <v>0.75</v>
      </c>
      <c r="U21" s="123">
        <v>0.1875</v>
      </c>
      <c r="V21" s="21">
        <f>T8</f>
        <v>0</v>
      </c>
      <c r="W21" s="22"/>
      <c r="X21" s="125">
        <v>0.75</v>
      </c>
      <c r="Y21" s="212">
        <v>7.2833333333333332</v>
      </c>
      <c r="Z21" s="123">
        <v>0.1875</v>
      </c>
      <c r="AA21" s="207">
        <f>Y8</f>
        <v>0.76666666666666816</v>
      </c>
      <c r="AB21" s="22"/>
      <c r="AC21" s="125">
        <v>0.75</v>
      </c>
      <c r="AD21" s="224">
        <v>36.641666666666666</v>
      </c>
      <c r="AE21" s="123">
        <v>0.1875</v>
      </c>
      <c r="AF21" s="207">
        <f>AD8</f>
        <v>25</v>
      </c>
      <c r="AH21" s="125">
        <v>0.75</v>
      </c>
      <c r="AJ21" s="123">
        <v>0.1875</v>
      </c>
      <c r="AK21" s="21">
        <f>AI8</f>
        <v>0</v>
      </c>
      <c r="AM21" s="125">
        <v>0.75</v>
      </c>
      <c r="AN21" s="123"/>
      <c r="AO21" s="123">
        <v>0.1875</v>
      </c>
      <c r="AP21" s="21">
        <f>AN8</f>
        <v>0</v>
      </c>
    </row>
    <row r="22" spans="1:42" x14ac:dyDescent="0.3">
      <c r="A22" s="123">
        <v>0.17708333333333334</v>
      </c>
      <c r="B22" s="203">
        <f t="shared" si="0"/>
        <v>0</v>
      </c>
      <c r="D22" s="125">
        <v>0.79166666666666696</v>
      </c>
      <c r="F22" s="123">
        <v>0.19791666666666666</v>
      </c>
      <c r="G22" s="21">
        <f>E8</f>
        <v>0</v>
      </c>
      <c r="H22" s="22"/>
      <c r="I22" s="125">
        <v>0.79166666666666696</v>
      </c>
      <c r="K22" s="123">
        <v>0.19791666666666666</v>
      </c>
      <c r="L22" s="21">
        <f>J8</f>
        <v>0</v>
      </c>
      <c r="M22" s="22"/>
      <c r="N22" s="125">
        <v>0.79166666666666696</v>
      </c>
      <c r="O22">
        <v>34.108333333333334</v>
      </c>
      <c r="P22" s="123">
        <v>0.19791666666666666</v>
      </c>
      <c r="Q22" s="21">
        <f>O8</f>
        <v>23.691666666666666</v>
      </c>
      <c r="R22" s="22"/>
      <c r="S22" s="125">
        <v>0.79166666666666696</v>
      </c>
      <c r="U22" s="123">
        <v>0.19791666666666666</v>
      </c>
      <c r="V22" s="21">
        <f>T8</f>
        <v>0</v>
      </c>
      <c r="W22" s="22"/>
      <c r="X22" s="125">
        <v>0.79166666666666696</v>
      </c>
      <c r="Y22" s="212">
        <v>6.1750000000000016</v>
      </c>
      <c r="Z22" s="123">
        <v>0.19791666666666666</v>
      </c>
      <c r="AA22" s="207">
        <f>Y8</f>
        <v>0.76666666666666816</v>
      </c>
      <c r="AB22" s="22"/>
      <c r="AC22" s="125">
        <v>0.79166666666666696</v>
      </c>
      <c r="AD22" s="224">
        <v>36.308333333333337</v>
      </c>
      <c r="AE22" s="123">
        <v>0.19791666666666666</v>
      </c>
      <c r="AF22" s="207">
        <f>AD8</f>
        <v>25</v>
      </c>
      <c r="AH22" s="125">
        <v>0.79166666666666696</v>
      </c>
      <c r="AJ22" s="123">
        <v>0.19791666666666666</v>
      </c>
      <c r="AK22" s="21">
        <f>AI8</f>
        <v>0</v>
      </c>
      <c r="AM22" s="125">
        <v>0.79166666666666696</v>
      </c>
      <c r="AN22" s="123"/>
      <c r="AO22" s="123">
        <v>0.19791666666666666</v>
      </c>
      <c r="AP22" s="21">
        <f>AN8</f>
        <v>0</v>
      </c>
    </row>
    <row r="23" spans="1:42" x14ac:dyDescent="0.3">
      <c r="A23" s="123">
        <v>0.1875</v>
      </c>
      <c r="B23" s="203">
        <f t="shared" si="0"/>
        <v>0</v>
      </c>
      <c r="D23" s="125">
        <v>0.83333333333333404</v>
      </c>
      <c r="F23" s="123">
        <v>0.20833333333333334</v>
      </c>
      <c r="G23" s="21">
        <f>E8</f>
        <v>0</v>
      </c>
      <c r="H23" s="22"/>
      <c r="I23" s="125">
        <v>0.83333333333333404</v>
      </c>
      <c r="K23" s="123">
        <v>0.20833333333333334</v>
      </c>
      <c r="L23" s="21">
        <f>J8</f>
        <v>0</v>
      </c>
      <c r="M23" s="22"/>
      <c r="N23" s="125">
        <v>0.83333333333333404</v>
      </c>
      <c r="O23">
        <v>33.550000000000004</v>
      </c>
      <c r="P23" s="123">
        <v>0.20833333333333334</v>
      </c>
      <c r="Q23" s="21">
        <f>O8</f>
        <v>23.691666666666666</v>
      </c>
      <c r="R23" s="22"/>
      <c r="S23" s="125">
        <v>0.83333333333333404</v>
      </c>
      <c r="U23" s="123">
        <v>0.20833333333333334</v>
      </c>
      <c r="V23" s="21">
        <f>T8</f>
        <v>0</v>
      </c>
      <c r="W23" s="22"/>
      <c r="X23" s="125">
        <v>0.83333333333333404</v>
      </c>
      <c r="Y23" s="212">
        <v>5.3333333333333339</v>
      </c>
      <c r="Z23" s="123">
        <v>0.20833333333333334</v>
      </c>
      <c r="AA23" s="207">
        <f>Y8</f>
        <v>0.76666666666666816</v>
      </c>
      <c r="AB23" s="22"/>
      <c r="AC23" s="125">
        <v>0.83333333333333404</v>
      </c>
      <c r="AD23" s="224">
        <v>35.4</v>
      </c>
      <c r="AE23" s="123">
        <v>0.20833333333333334</v>
      </c>
      <c r="AF23" s="207">
        <f>AD8</f>
        <v>25</v>
      </c>
      <c r="AH23" s="125">
        <v>0.83333333333333404</v>
      </c>
      <c r="AJ23" s="123">
        <v>0.20833333333333334</v>
      </c>
      <c r="AK23" s="21">
        <f>AI8</f>
        <v>0</v>
      </c>
      <c r="AM23" s="125">
        <v>0.83333333333333404</v>
      </c>
      <c r="AN23" s="123"/>
      <c r="AO23" s="123">
        <v>0.20833333333333334</v>
      </c>
      <c r="AP23" s="21">
        <f>AN8</f>
        <v>0</v>
      </c>
    </row>
    <row r="24" spans="1:42" x14ac:dyDescent="0.3">
      <c r="A24" s="123">
        <v>0.19791666666666666</v>
      </c>
      <c r="B24" s="203">
        <f t="shared" si="0"/>
        <v>0</v>
      </c>
      <c r="D24" s="125">
        <v>0.875</v>
      </c>
      <c r="F24" s="123">
        <v>0.21875</v>
      </c>
      <c r="G24" s="21">
        <f>E9</f>
        <v>0</v>
      </c>
      <c r="H24" s="22"/>
      <c r="I24" s="125">
        <v>0.875</v>
      </c>
      <c r="K24" s="123">
        <v>0.21875</v>
      </c>
      <c r="L24" s="21">
        <f>J9</f>
        <v>0</v>
      </c>
      <c r="M24" s="22"/>
      <c r="N24" s="125">
        <v>0.875</v>
      </c>
      <c r="O24">
        <v>32.833333333333329</v>
      </c>
      <c r="P24" s="123">
        <v>0.21875</v>
      </c>
      <c r="Q24" s="21">
        <f>O9</f>
        <v>23.9</v>
      </c>
      <c r="R24" s="22"/>
      <c r="S24" s="125">
        <v>0.875</v>
      </c>
      <c r="U24" s="123">
        <v>0.21875</v>
      </c>
      <c r="V24" s="21">
        <f>T9</f>
        <v>0</v>
      </c>
      <c r="W24" s="22"/>
      <c r="X24" s="125">
        <v>0.875</v>
      </c>
      <c r="Y24" s="212">
        <v>4.9416666666666682</v>
      </c>
      <c r="Z24" s="123">
        <v>0.21875</v>
      </c>
      <c r="AA24" s="207">
        <f>Y9</f>
        <v>0.59999999999999909</v>
      </c>
      <c r="AB24" s="22"/>
      <c r="AC24" s="125">
        <v>0.875</v>
      </c>
      <c r="AD24" s="224">
        <v>34.200000000000003</v>
      </c>
      <c r="AE24" s="123">
        <v>0.21875</v>
      </c>
      <c r="AF24" s="207">
        <f>AD9</f>
        <v>24.883333333333336</v>
      </c>
      <c r="AH24" s="125">
        <v>0.875</v>
      </c>
      <c r="AJ24" s="123">
        <v>0.21875</v>
      </c>
      <c r="AK24" s="21">
        <f>AI9</f>
        <v>0</v>
      </c>
      <c r="AM24" s="125">
        <v>0.875</v>
      </c>
      <c r="AN24" s="123"/>
      <c r="AO24" s="123">
        <v>0.21875</v>
      </c>
      <c r="AP24" s="21">
        <f>AN9</f>
        <v>0</v>
      </c>
    </row>
    <row r="25" spans="1:42" x14ac:dyDescent="0.3">
      <c r="A25" s="123">
        <v>0.20833333333333334</v>
      </c>
      <c r="B25" s="203">
        <f t="shared" si="0"/>
        <v>0</v>
      </c>
      <c r="D25" s="125">
        <v>0.91666666666666696</v>
      </c>
      <c r="F25" s="123">
        <v>0.22916666666666666</v>
      </c>
      <c r="G25" s="21">
        <f>E9</f>
        <v>0</v>
      </c>
      <c r="H25" s="22"/>
      <c r="I25" s="125">
        <v>0.91666666666666696</v>
      </c>
      <c r="K25" s="123">
        <v>0.22916666666666666</v>
      </c>
      <c r="L25" s="21">
        <f>J9</f>
        <v>0</v>
      </c>
      <c r="M25" s="22"/>
      <c r="N25" s="125">
        <v>0.91666666666666696</v>
      </c>
      <c r="O25">
        <v>31.216666666666669</v>
      </c>
      <c r="P25" s="123">
        <v>0.22916666666666666</v>
      </c>
      <c r="Q25" s="21">
        <f>O9</f>
        <v>23.9</v>
      </c>
      <c r="R25" s="22"/>
      <c r="S25" s="125">
        <v>0.91666666666666696</v>
      </c>
      <c r="U25" s="123">
        <v>0.22916666666666666</v>
      </c>
      <c r="V25" s="21">
        <f>T9</f>
        <v>0</v>
      </c>
      <c r="W25" s="22"/>
      <c r="X25" s="125">
        <v>0.91666666666666696</v>
      </c>
      <c r="Y25" s="212">
        <v>4.3166666666666682</v>
      </c>
      <c r="Z25" s="123">
        <v>0.22916666666666666</v>
      </c>
      <c r="AA25" s="207">
        <f>Y9</f>
        <v>0.59999999999999909</v>
      </c>
      <c r="AB25" s="22"/>
      <c r="AC25" s="125">
        <v>0.91666666666666696</v>
      </c>
      <c r="AD25" s="224">
        <v>32.766666666666673</v>
      </c>
      <c r="AE25" s="123">
        <v>0.22916666666666666</v>
      </c>
      <c r="AF25" s="207">
        <f>AD9</f>
        <v>24.883333333333336</v>
      </c>
      <c r="AH25" s="125">
        <v>0.91666666666666696</v>
      </c>
      <c r="AJ25" s="123">
        <v>0.22916666666666666</v>
      </c>
      <c r="AK25" s="21">
        <f>AI9</f>
        <v>0</v>
      </c>
      <c r="AM25" s="125">
        <v>0.91666666666666696</v>
      </c>
      <c r="AN25" s="123"/>
      <c r="AO25" s="123">
        <v>0.22916666666666666</v>
      </c>
      <c r="AP25" s="21">
        <f>AN9</f>
        <v>0</v>
      </c>
    </row>
    <row r="26" spans="1:42" x14ac:dyDescent="0.3">
      <c r="A26" s="123">
        <v>0.21875</v>
      </c>
      <c r="B26" s="203">
        <f t="shared" si="0"/>
        <v>0</v>
      </c>
      <c r="D26" s="125">
        <v>0.95833333333333404</v>
      </c>
      <c r="F26" s="123">
        <v>0.23958333333333334</v>
      </c>
      <c r="G26" s="21">
        <f>E9</f>
        <v>0</v>
      </c>
      <c r="H26" s="22"/>
      <c r="I26" s="125">
        <v>0.95833333333333404</v>
      </c>
      <c r="K26" s="123">
        <v>0.23958333333333334</v>
      </c>
      <c r="L26" s="21">
        <f>J9</f>
        <v>0</v>
      </c>
      <c r="M26" s="22"/>
      <c r="N26" s="125">
        <v>0.95833333333333404</v>
      </c>
      <c r="O26">
        <v>28.783333333333335</v>
      </c>
      <c r="P26" s="123">
        <v>0.23958333333333334</v>
      </c>
      <c r="Q26" s="21">
        <f>O9</f>
        <v>23.9</v>
      </c>
      <c r="R26" s="22"/>
      <c r="S26" s="125">
        <v>0.95833333333333404</v>
      </c>
      <c r="U26" s="123">
        <v>0.23958333333333334</v>
      </c>
      <c r="V26" s="21">
        <f>T9</f>
        <v>0</v>
      </c>
      <c r="W26" s="22"/>
      <c r="X26" s="125">
        <v>0.95833333333333404</v>
      </c>
      <c r="Y26" s="212">
        <v>3.9000000000000021</v>
      </c>
      <c r="Z26" s="123">
        <v>0.23958333333333334</v>
      </c>
      <c r="AA26" s="207">
        <f>Y9</f>
        <v>0.59999999999999909</v>
      </c>
      <c r="AB26" s="22"/>
      <c r="AC26" s="125">
        <v>0.95833333333333404</v>
      </c>
      <c r="AD26" s="224">
        <v>31.458333333333336</v>
      </c>
      <c r="AE26" s="123">
        <v>0.23958333333333334</v>
      </c>
      <c r="AF26" s="207">
        <f>AD9</f>
        <v>24.883333333333336</v>
      </c>
      <c r="AH26" s="125">
        <v>0.95833333333333404</v>
      </c>
      <c r="AJ26" s="123">
        <v>0.23958333333333334</v>
      </c>
      <c r="AK26" s="21">
        <f>AI9</f>
        <v>0</v>
      </c>
      <c r="AM26" s="125">
        <v>0.95833333333333404</v>
      </c>
      <c r="AN26" s="123"/>
      <c r="AO26" s="123">
        <v>0.23958333333333334</v>
      </c>
      <c r="AP26" s="21">
        <f>AN9</f>
        <v>0</v>
      </c>
    </row>
    <row r="27" spans="1:42" x14ac:dyDescent="0.3">
      <c r="A27" s="123">
        <v>0.22916666666666666</v>
      </c>
      <c r="B27" s="203">
        <f t="shared" si="0"/>
        <v>0</v>
      </c>
      <c r="D27" s="125">
        <v>1</v>
      </c>
      <c r="F27" s="123">
        <v>0.25</v>
      </c>
      <c r="G27" s="21">
        <f>E9</f>
        <v>0</v>
      </c>
      <c r="H27" s="22"/>
      <c r="I27" s="125">
        <v>1</v>
      </c>
      <c r="K27" s="123">
        <v>0.25</v>
      </c>
      <c r="L27" s="21">
        <f>J9</f>
        <v>0</v>
      </c>
      <c r="M27" s="22"/>
      <c r="N27" s="125">
        <v>1</v>
      </c>
      <c r="O27">
        <v>27.350000000000005</v>
      </c>
      <c r="P27" s="123">
        <v>0.25</v>
      </c>
      <c r="Q27" s="21">
        <f>O9</f>
        <v>23.9</v>
      </c>
      <c r="R27" s="22"/>
      <c r="S27" s="125">
        <v>1</v>
      </c>
      <c r="U27" s="123">
        <v>0.25</v>
      </c>
      <c r="V27" s="21">
        <f>T9</f>
        <v>0</v>
      </c>
      <c r="W27" s="22"/>
      <c r="X27" s="125">
        <v>1</v>
      </c>
      <c r="Y27" s="212">
        <v>3.8416666666666663</v>
      </c>
      <c r="Z27" s="123">
        <v>0.25</v>
      </c>
      <c r="AA27" s="207">
        <f>Y9</f>
        <v>0.59999999999999909</v>
      </c>
      <c r="AB27" s="22"/>
      <c r="AC27" s="125">
        <v>1</v>
      </c>
      <c r="AD27" s="224">
        <v>30.358333333333331</v>
      </c>
      <c r="AE27" s="123">
        <v>0.25</v>
      </c>
      <c r="AF27" s="207">
        <f>AD9</f>
        <v>24.883333333333336</v>
      </c>
      <c r="AH27" s="125">
        <v>1</v>
      </c>
      <c r="AJ27" s="123">
        <v>0.25</v>
      </c>
      <c r="AK27" s="21">
        <f>AI9</f>
        <v>0</v>
      </c>
      <c r="AM27" s="125">
        <v>1</v>
      </c>
      <c r="AN27" s="123"/>
      <c r="AO27" s="123">
        <v>0.25</v>
      </c>
      <c r="AP27" s="21">
        <f>AN9</f>
        <v>0</v>
      </c>
    </row>
    <row r="28" spans="1:42" x14ac:dyDescent="0.3">
      <c r="A28" s="123">
        <v>0.23958333333333334</v>
      </c>
      <c r="B28" s="203">
        <f t="shared" si="0"/>
        <v>0</v>
      </c>
      <c r="D28" s="125"/>
      <c r="E28" s="123"/>
      <c r="F28" s="123">
        <v>0.26041666666666669</v>
      </c>
      <c r="G28" s="21">
        <f>E10</f>
        <v>0</v>
      </c>
      <c r="H28" s="22"/>
      <c r="I28" s="125"/>
      <c r="J28" s="123"/>
      <c r="K28" s="123">
        <v>0.26041666666666669</v>
      </c>
      <c r="L28" s="21">
        <f>J10</f>
        <v>0</v>
      </c>
      <c r="M28" s="22"/>
      <c r="N28" s="125"/>
      <c r="O28" s="123"/>
      <c r="P28" s="123">
        <v>0.26041666666666669</v>
      </c>
      <c r="Q28" s="21">
        <f>O10</f>
        <v>24.541666666666668</v>
      </c>
      <c r="R28" s="22"/>
      <c r="S28" s="125"/>
      <c r="T28" s="123"/>
      <c r="U28" s="123">
        <v>0.26041666666666669</v>
      </c>
      <c r="V28" s="21">
        <f>T10</f>
        <v>0</v>
      </c>
      <c r="W28" s="22"/>
      <c r="X28" s="125"/>
      <c r="Y28" s="123"/>
      <c r="Z28" s="123">
        <v>0.26041666666666669</v>
      </c>
      <c r="AA28" s="207">
        <f>Y10</f>
        <v>0.59999999999999909</v>
      </c>
      <c r="AB28" s="22"/>
      <c r="AC28" s="125"/>
      <c r="AD28" s="123"/>
      <c r="AE28" s="123">
        <v>0.26041666666666669</v>
      </c>
      <c r="AF28" s="207">
        <f>AD10</f>
        <v>25.558333333333334</v>
      </c>
      <c r="AH28" s="125"/>
      <c r="AI28" s="123"/>
      <c r="AJ28" s="123">
        <v>0.26041666666666669</v>
      </c>
      <c r="AK28" s="21">
        <f>AI10</f>
        <v>0</v>
      </c>
      <c r="AM28" s="125"/>
      <c r="AN28" s="123"/>
      <c r="AO28" s="123">
        <v>0.26041666666666669</v>
      </c>
      <c r="AP28" s="21">
        <f>AN10</f>
        <v>0</v>
      </c>
    </row>
    <row r="29" spans="1:42" x14ac:dyDescent="0.3">
      <c r="A29" s="123">
        <v>0.25</v>
      </c>
      <c r="B29" s="203">
        <f t="shared" si="0"/>
        <v>0</v>
      </c>
      <c r="D29" s="125"/>
      <c r="E29" s="123"/>
      <c r="F29" s="123">
        <v>0.27083333333333331</v>
      </c>
      <c r="G29" s="21">
        <f>E10</f>
        <v>0</v>
      </c>
      <c r="H29" s="22"/>
      <c r="I29" s="125"/>
      <c r="J29" s="123"/>
      <c r="K29" s="123">
        <v>0.27083333333333331</v>
      </c>
      <c r="L29" s="21">
        <f>J10</f>
        <v>0</v>
      </c>
      <c r="M29" s="22"/>
      <c r="N29" s="125"/>
      <c r="O29" s="123"/>
      <c r="P29" s="123">
        <v>0.27083333333333331</v>
      </c>
      <c r="Q29" s="21">
        <f>O10</f>
        <v>24.541666666666668</v>
      </c>
      <c r="R29" s="22"/>
      <c r="S29" s="125"/>
      <c r="T29" s="123"/>
      <c r="U29" s="123">
        <v>0.27083333333333331</v>
      </c>
      <c r="V29" s="21">
        <f>T10</f>
        <v>0</v>
      </c>
      <c r="W29" s="22"/>
      <c r="X29" s="125"/>
      <c r="Y29" s="123"/>
      <c r="Z29" s="123">
        <v>0.27083333333333331</v>
      </c>
      <c r="AA29" s="207">
        <f>Y10</f>
        <v>0.59999999999999909</v>
      </c>
      <c r="AB29" s="22"/>
      <c r="AC29" s="125"/>
      <c r="AD29" s="123"/>
      <c r="AE29" s="123">
        <v>0.27083333333333331</v>
      </c>
      <c r="AF29" s="207">
        <f>AD10</f>
        <v>25.558333333333334</v>
      </c>
      <c r="AH29" s="125"/>
      <c r="AI29" s="123"/>
      <c r="AJ29" s="123">
        <v>0.27083333333333331</v>
      </c>
      <c r="AK29" s="21">
        <f>AI10</f>
        <v>0</v>
      </c>
      <c r="AM29" s="125"/>
      <c r="AN29" s="123"/>
      <c r="AO29" s="123">
        <v>0.27083333333333331</v>
      </c>
      <c r="AP29" s="21">
        <f>AN10</f>
        <v>0</v>
      </c>
    </row>
    <row r="30" spans="1:42" x14ac:dyDescent="0.3">
      <c r="A30" s="123">
        <v>0.26041666666666669</v>
      </c>
      <c r="B30" s="203">
        <f t="shared" si="0"/>
        <v>0</v>
      </c>
      <c r="D30" s="125"/>
      <c r="E30" s="123"/>
      <c r="F30" s="123">
        <v>0.28125</v>
      </c>
      <c r="G30" s="21">
        <f>E10</f>
        <v>0</v>
      </c>
      <c r="H30" s="22"/>
      <c r="I30" s="125"/>
      <c r="J30" s="123"/>
      <c r="K30" s="123">
        <v>0.28125</v>
      </c>
      <c r="L30" s="21">
        <f>J10</f>
        <v>0</v>
      </c>
      <c r="M30" s="22"/>
      <c r="N30" s="125"/>
      <c r="O30" s="123"/>
      <c r="P30" s="123">
        <v>0.28125</v>
      </c>
      <c r="Q30" s="21">
        <f>O10</f>
        <v>24.541666666666668</v>
      </c>
      <c r="R30" s="22"/>
      <c r="S30" s="125"/>
      <c r="T30" s="123"/>
      <c r="U30" s="123">
        <v>0.28125</v>
      </c>
      <c r="V30" s="21">
        <f>T10</f>
        <v>0</v>
      </c>
      <c r="W30" s="22"/>
      <c r="X30" s="125"/>
      <c r="Y30" s="123"/>
      <c r="Z30" s="123">
        <v>0.28125</v>
      </c>
      <c r="AA30" s="207">
        <f>Y10</f>
        <v>0.59999999999999909</v>
      </c>
      <c r="AB30" s="22"/>
      <c r="AC30" s="125"/>
      <c r="AD30" s="123"/>
      <c r="AE30" s="123">
        <v>0.28125</v>
      </c>
      <c r="AF30" s="207">
        <f>AD10</f>
        <v>25.558333333333334</v>
      </c>
      <c r="AH30" s="125"/>
      <c r="AI30" s="123"/>
      <c r="AJ30" s="123">
        <v>0.28125</v>
      </c>
      <c r="AK30" s="21">
        <f>AI10</f>
        <v>0</v>
      </c>
      <c r="AM30" s="125"/>
      <c r="AN30" s="123"/>
      <c r="AO30" s="123">
        <v>0.28125</v>
      </c>
      <c r="AP30" s="21">
        <f>AN10</f>
        <v>0</v>
      </c>
    </row>
    <row r="31" spans="1:42" x14ac:dyDescent="0.3">
      <c r="A31" s="123">
        <v>0.27083333333333331</v>
      </c>
      <c r="B31" s="203">
        <f t="shared" si="0"/>
        <v>0</v>
      </c>
      <c r="D31" s="125"/>
      <c r="E31" s="123"/>
      <c r="F31" s="123">
        <v>0.29166666666666669</v>
      </c>
      <c r="G31" s="21">
        <f>E10</f>
        <v>0</v>
      </c>
      <c r="H31" s="22"/>
      <c r="I31" s="125"/>
      <c r="J31" s="123"/>
      <c r="K31" s="123">
        <v>0.29166666666666669</v>
      </c>
      <c r="L31" s="21">
        <f>J10</f>
        <v>0</v>
      </c>
      <c r="M31" s="22"/>
      <c r="N31" s="125"/>
      <c r="O31" s="123"/>
      <c r="P31" s="123">
        <v>0.29166666666666669</v>
      </c>
      <c r="Q31" s="21">
        <f>O10</f>
        <v>24.541666666666668</v>
      </c>
      <c r="R31" s="22"/>
      <c r="S31" s="125"/>
      <c r="T31" s="123"/>
      <c r="U31" s="123">
        <v>0.29166666666666669</v>
      </c>
      <c r="V31" s="21">
        <f>T10</f>
        <v>0</v>
      </c>
      <c r="W31" s="22"/>
      <c r="X31" s="125"/>
      <c r="Y31" s="223"/>
      <c r="Z31" s="123">
        <v>0.29166666666666669</v>
      </c>
      <c r="AA31" s="207">
        <f>Y10</f>
        <v>0.59999999999999909</v>
      </c>
      <c r="AB31" s="22"/>
      <c r="AC31" s="125"/>
      <c r="AD31" s="223"/>
      <c r="AE31" s="123">
        <v>0.29166666666666669</v>
      </c>
      <c r="AF31" s="207">
        <f>AD10</f>
        <v>25.558333333333334</v>
      </c>
      <c r="AH31" s="125"/>
      <c r="AI31" s="123"/>
      <c r="AJ31" s="123">
        <v>0.29166666666666669</v>
      </c>
      <c r="AK31" s="21">
        <f>AI10</f>
        <v>0</v>
      </c>
      <c r="AM31" s="125"/>
      <c r="AN31" s="123"/>
      <c r="AO31" s="123">
        <v>0.29166666666666669</v>
      </c>
      <c r="AP31" s="21">
        <f>AN10</f>
        <v>0</v>
      </c>
    </row>
    <row r="32" spans="1:42" x14ac:dyDescent="0.3">
      <c r="A32" s="123">
        <v>0.28125</v>
      </c>
      <c r="B32" s="203">
        <f t="shared" si="0"/>
        <v>0</v>
      </c>
      <c r="D32" s="125"/>
      <c r="E32" s="123"/>
      <c r="F32" s="123">
        <v>0.30208333333333331</v>
      </c>
      <c r="G32" s="21">
        <f>E11</f>
        <v>0</v>
      </c>
      <c r="H32" s="22"/>
      <c r="I32" s="125"/>
      <c r="J32" s="123"/>
      <c r="K32" s="123">
        <v>0.30208333333333331</v>
      </c>
      <c r="L32" s="21">
        <f>J11</f>
        <v>0</v>
      </c>
      <c r="M32" s="22"/>
      <c r="N32" s="125"/>
      <c r="O32" s="123"/>
      <c r="P32" s="123">
        <v>0.30208333333333331</v>
      </c>
      <c r="Q32" s="21">
        <f>O11</f>
        <v>25.058333333333337</v>
      </c>
      <c r="R32" s="22"/>
      <c r="S32" s="125"/>
      <c r="T32" s="123"/>
      <c r="U32" s="123">
        <v>0.30208333333333331</v>
      </c>
      <c r="V32" s="21">
        <f>T11</f>
        <v>0</v>
      </c>
      <c r="W32" s="22"/>
      <c r="X32" s="125"/>
      <c r="Y32" s="123"/>
      <c r="Z32" s="123">
        <v>0.30208333333333331</v>
      </c>
      <c r="AA32" s="207">
        <f>Y11</f>
        <v>0.7750000000000018</v>
      </c>
      <c r="AB32" s="22"/>
      <c r="AC32" s="125"/>
      <c r="AD32" s="123"/>
      <c r="AE32" s="123">
        <v>0.30208333333333331</v>
      </c>
      <c r="AF32" s="207">
        <f>AD11</f>
        <v>25.983333333333331</v>
      </c>
      <c r="AH32" s="125"/>
      <c r="AI32" s="123"/>
      <c r="AJ32" s="123">
        <v>0.30208333333333331</v>
      </c>
      <c r="AK32" s="21">
        <f>AI11</f>
        <v>0</v>
      </c>
      <c r="AM32" s="125"/>
      <c r="AN32" s="123"/>
      <c r="AO32" s="123">
        <v>0.30208333333333331</v>
      </c>
      <c r="AP32" s="21">
        <f>AN11</f>
        <v>0</v>
      </c>
    </row>
    <row r="33" spans="1:42" x14ac:dyDescent="0.3">
      <c r="A33" s="123">
        <v>0.29166666666666669</v>
      </c>
      <c r="B33" s="203">
        <f t="shared" si="0"/>
        <v>0</v>
      </c>
      <c r="D33" s="125"/>
      <c r="E33" s="123"/>
      <c r="F33" s="123">
        <v>0.3125</v>
      </c>
      <c r="G33" s="21">
        <f>E11</f>
        <v>0</v>
      </c>
      <c r="H33" s="22"/>
      <c r="I33" s="125"/>
      <c r="J33" s="123"/>
      <c r="K33" s="123">
        <v>0.3125</v>
      </c>
      <c r="L33" s="21">
        <f>J11</f>
        <v>0</v>
      </c>
      <c r="M33" s="22"/>
      <c r="N33" s="125"/>
      <c r="O33" s="123"/>
      <c r="P33" s="123">
        <v>0.3125</v>
      </c>
      <c r="Q33" s="21">
        <f>O11</f>
        <v>25.058333333333337</v>
      </c>
      <c r="R33" s="22"/>
      <c r="S33" s="125"/>
      <c r="T33" s="123"/>
      <c r="U33" s="123">
        <v>0.3125</v>
      </c>
      <c r="V33" s="21">
        <f>T11</f>
        <v>0</v>
      </c>
      <c r="W33" s="22"/>
      <c r="X33" s="125"/>
      <c r="Y33" s="123"/>
      <c r="Z33" s="123">
        <v>0.3125</v>
      </c>
      <c r="AA33" s="207">
        <f>Y11</f>
        <v>0.7750000000000018</v>
      </c>
      <c r="AB33" s="22"/>
      <c r="AC33" s="125"/>
      <c r="AD33" s="123"/>
      <c r="AE33" s="123">
        <v>0.3125</v>
      </c>
      <c r="AF33" s="207">
        <f>AD11</f>
        <v>25.983333333333331</v>
      </c>
      <c r="AH33" s="125"/>
      <c r="AI33" s="123"/>
      <c r="AJ33" s="123">
        <v>0.3125</v>
      </c>
      <c r="AK33" s="21">
        <f>AI11</f>
        <v>0</v>
      </c>
      <c r="AM33" s="125"/>
      <c r="AN33" s="123"/>
      <c r="AO33" s="123">
        <v>0.3125</v>
      </c>
      <c r="AP33" s="21">
        <f>AN11</f>
        <v>0</v>
      </c>
    </row>
    <row r="34" spans="1:42" x14ac:dyDescent="0.3">
      <c r="A34" s="123">
        <v>0.30208333333333331</v>
      </c>
      <c r="B34" s="203">
        <f t="shared" si="0"/>
        <v>0</v>
      </c>
      <c r="D34" s="125"/>
      <c r="E34" s="123"/>
      <c r="F34" s="123">
        <v>0.32291666666666669</v>
      </c>
      <c r="G34" s="21">
        <f>E11</f>
        <v>0</v>
      </c>
      <c r="H34" s="22"/>
      <c r="I34" s="125"/>
      <c r="J34" s="123"/>
      <c r="K34" s="123">
        <v>0.32291666666666669</v>
      </c>
      <c r="L34" s="21">
        <f>J11</f>
        <v>0</v>
      </c>
      <c r="M34" s="22"/>
      <c r="N34" s="125"/>
      <c r="O34" s="123"/>
      <c r="P34" s="123">
        <v>0.32291666666666669</v>
      </c>
      <c r="Q34" s="21">
        <f>O11</f>
        <v>25.058333333333337</v>
      </c>
      <c r="R34" s="22"/>
      <c r="S34" s="125"/>
      <c r="T34" s="123"/>
      <c r="U34" s="123">
        <v>0.32291666666666669</v>
      </c>
      <c r="V34" s="21">
        <f>T11</f>
        <v>0</v>
      </c>
      <c r="W34" s="22"/>
      <c r="X34" s="125"/>
      <c r="Y34" s="123"/>
      <c r="Z34" s="123">
        <v>0.32291666666666669</v>
      </c>
      <c r="AA34" s="207">
        <f>Y11</f>
        <v>0.7750000000000018</v>
      </c>
      <c r="AB34" s="22"/>
      <c r="AC34" s="125"/>
      <c r="AD34" s="123"/>
      <c r="AE34" s="123">
        <v>0.32291666666666669</v>
      </c>
      <c r="AF34" s="207">
        <f>AD11</f>
        <v>25.983333333333331</v>
      </c>
      <c r="AH34" s="125"/>
      <c r="AI34" s="123"/>
      <c r="AJ34" s="123">
        <v>0.32291666666666669</v>
      </c>
      <c r="AK34" s="21">
        <f>AI11</f>
        <v>0</v>
      </c>
      <c r="AM34" s="125"/>
      <c r="AN34" s="123"/>
      <c r="AO34" s="123">
        <v>0.32291666666666669</v>
      </c>
      <c r="AP34" s="21">
        <f>AN11</f>
        <v>0</v>
      </c>
    </row>
    <row r="35" spans="1:42" x14ac:dyDescent="0.3">
      <c r="A35" s="123">
        <v>0.3125</v>
      </c>
      <c r="B35" s="203">
        <f t="shared" si="0"/>
        <v>0</v>
      </c>
      <c r="D35" s="125"/>
      <c r="E35" s="123"/>
      <c r="F35" s="123">
        <v>0.33333333333333331</v>
      </c>
      <c r="G35" s="21">
        <f>E11</f>
        <v>0</v>
      </c>
      <c r="H35" s="22"/>
      <c r="I35" s="125"/>
      <c r="J35" s="123"/>
      <c r="K35" s="123">
        <v>0.33333333333333331</v>
      </c>
      <c r="L35" s="21">
        <f>J11</f>
        <v>0</v>
      </c>
      <c r="M35" s="22"/>
      <c r="N35" s="125"/>
      <c r="O35" s="123"/>
      <c r="P35" s="123">
        <v>0.33333333333333331</v>
      </c>
      <c r="Q35" s="21">
        <f>O11</f>
        <v>25.058333333333337</v>
      </c>
      <c r="R35" s="22"/>
      <c r="S35" s="125"/>
      <c r="T35" s="123"/>
      <c r="U35" s="123">
        <v>0.33333333333333331</v>
      </c>
      <c r="V35" s="21">
        <f>T11</f>
        <v>0</v>
      </c>
      <c r="W35" s="22"/>
      <c r="X35" s="125"/>
      <c r="Y35" s="123"/>
      <c r="Z35" s="123">
        <v>0.33333333333333331</v>
      </c>
      <c r="AA35" s="207">
        <f>Y11</f>
        <v>0.7750000000000018</v>
      </c>
      <c r="AB35" s="22"/>
      <c r="AC35" s="125"/>
      <c r="AD35" s="123"/>
      <c r="AE35" s="123">
        <v>0.33333333333333331</v>
      </c>
      <c r="AF35" s="207">
        <f>AD11</f>
        <v>25.983333333333331</v>
      </c>
      <c r="AH35" s="125"/>
      <c r="AI35" s="123"/>
      <c r="AJ35" s="123">
        <v>0.33333333333333331</v>
      </c>
      <c r="AK35" s="21">
        <f>AI11</f>
        <v>0</v>
      </c>
      <c r="AM35" s="125"/>
      <c r="AN35" s="123"/>
      <c r="AO35" s="123">
        <v>0.33333333333333331</v>
      </c>
      <c r="AP35" s="21">
        <f>AN11</f>
        <v>0</v>
      </c>
    </row>
    <row r="36" spans="1:42" x14ac:dyDescent="0.3">
      <c r="A36" s="123">
        <v>0.32291666666666669</v>
      </c>
      <c r="B36" s="203">
        <f t="shared" si="0"/>
        <v>0</v>
      </c>
      <c r="D36" s="125"/>
      <c r="E36" s="123"/>
      <c r="F36" s="123">
        <v>0.34375</v>
      </c>
      <c r="G36" s="21">
        <f>E12</f>
        <v>0</v>
      </c>
      <c r="H36" s="22"/>
      <c r="I36" s="125"/>
      <c r="J36" s="123"/>
      <c r="K36" s="123">
        <v>0.34375</v>
      </c>
      <c r="L36" s="21">
        <f>J12</f>
        <v>0</v>
      </c>
      <c r="M36" s="22"/>
      <c r="N36" s="125"/>
      <c r="O36" s="123"/>
      <c r="P36" s="123">
        <v>0.34375</v>
      </c>
      <c r="Q36" s="21">
        <f>O12</f>
        <v>25.916666666666671</v>
      </c>
      <c r="R36" s="22"/>
      <c r="S36" s="125"/>
      <c r="T36" s="123"/>
      <c r="U36" s="123">
        <v>0.34375</v>
      </c>
      <c r="V36" s="21">
        <f>T12</f>
        <v>0</v>
      </c>
      <c r="W36" s="22"/>
      <c r="X36" s="125"/>
      <c r="Y36" s="123"/>
      <c r="Z36" s="123">
        <v>0.34375</v>
      </c>
      <c r="AA36" s="207">
        <f>Y12</f>
        <v>2.1250000000000018</v>
      </c>
      <c r="AB36" s="22"/>
      <c r="AC36" s="125"/>
      <c r="AD36" s="123"/>
      <c r="AE36" s="123">
        <v>0.34375</v>
      </c>
      <c r="AF36" s="207">
        <f>AD12</f>
        <v>27.183333333333337</v>
      </c>
      <c r="AH36" s="125"/>
      <c r="AI36" s="123"/>
      <c r="AJ36" s="123">
        <v>0.34375</v>
      </c>
      <c r="AK36" s="21">
        <f>AI12</f>
        <v>0</v>
      </c>
      <c r="AM36" s="125"/>
      <c r="AN36" s="123"/>
      <c r="AO36" s="123">
        <v>0.34375</v>
      </c>
      <c r="AP36" s="21">
        <f>AN12</f>
        <v>0</v>
      </c>
    </row>
    <row r="37" spans="1:42" x14ac:dyDescent="0.3">
      <c r="A37" s="123">
        <v>0.33333333333333331</v>
      </c>
      <c r="B37" s="203">
        <f t="shared" si="0"/>
        <v>0</v>
      </c>
      <c r="D37" s="125"/>
      <c r="E37" s="123"/>
      <c r="F37" s="123">
        <v>0.35416666666666669</v>
      </c>
      <c r="G37" s="21">
        <f>E12</f>
        <v>0</v>
      </c>
      <c r="H37" s="22"/>
      <c r="I37" s="125"/>
      <c r="J37" s="123"/>
      <c r="K37" s="123">
        <v>0.35416666666666669</v>
      </c>
      <c r="L37" s="21">
        <f>J12</f>
        <v>0</v>
      </c>
      <c r="M37" s="22"/>
      <c r="N37" s="125"/>
      <c r="O37" s="123"/>
      <c r="P37" s="123">
        <v>0.35416666666666669</v>
      </c>
      <c r="Q37" s="21">
        <f>O12</f>
        <v>25.916666666666671</v>
      </c>
      <c r="R37" s="22"/>
      <c r="S37" s="125"/>
      <c r="T37" s="123"/>
      <c r="U37" s="123">
        <v>0.35416666666666669</v>
      </c>
      <c r="V37" s="21">
        <f>T12</f>
        <v>0</v>
      </c>
      <c r="W37" s="22"/>
      <c r="X37" s="125"/>
      <c r="Y37" s="123"/>
      <c r="Z37" s="123">
        <v>0.35416666666666669</v>
      </c>
      <c r="AA37" s="207">
        <f>Y12</f>
        <v>2.1250000000000018</v>
      </c>
      <c r="AB37" s="22"/>
      <c r="AC37" s="125"/>
      <c r="AD37" s="123"/>
      <c r="AE37" s="123">
        <v>0.35416666666666669</v>
      </c>
      <c r="AF37" s="207">
        <f>AD12</f>
        <v>27.183333333333337</v>
      </c>
      <c r="AH37" s="125"/>
      <c r="AI37" s="123"/>
      <c r="AJ37" s="123">
        <v>0.35416666666666669</v>
      </c>
      <c r="AK37" s="21">
        <f>AI12</f>
        <v>0</v>
      </c>
      <c r="AM37" s="125"/>
      <c r="AN37" s="123"/>
      <c r="AO37" s="123">
        <v>0.35416666666666669</v>
      </c>
      <c r="AP37" s="21">
        <f>AN12</f>
        <v>0</v>
      </c>
    </row>
    <row r="38" spans="1:42" x14ac:dyDescent="0.3">
      <c r="A38" s="123">
        <v>0.34375</v>
      </c>
      <c r="B38" s="203">
        <f t="shared" ref="B38:B69" si="1">IF($B$3=$D$2,G36,IF($B$3=$I$2,L36,IF($B$3=$N$2,Q36,IF($B$3=$S$2,V36,IF($B$3=$X$2,AA36,IF($B$3=$AC$2,AF36,IF($B$3=$AH$2,AK36,IF($B$3=$AM$2,AP36,0))))))))</f>
        <v>0</v>
      </c>
      <c r="D38" s="125"/>
      <c r="E38" s="123"/>
      <c r="F38" s="123">
        <v>0.36458333333333331</v>
      </c>
      <c r="G38" s="21">
        <f>E12</f>
        <v>0</v>
      </c>
      <c r="H38" s="22"/>
      <c r="I38" s="125"/>
      <c r="J38" s="123"/>
      <c r="K38" s="123">
        <v>0.36458333333333331</v>
      </c>
      <c r="L38" s="21">
        <f>J12</f>
        <v>0</v>
      </c>
      <c r="M38" s="22"/>
      <c r="N38" s="125"/>
      <c r="O38" s="123"/>
      <c r="P38" s="123">
        <v>0.36458333333333331</v>
      </c>
      <c r="Q38" s="21">
        <f>O12</f>
        <v>25.916666666666671</v>
      </c>
      <c r="R38" s="22"/>
      <c r="S38" s="125"/>
      <c r="T38" s="123"/>
      <c r="U38" s="123">
        <v>0.36458333333333331</v>
      </c>
      <c r="V38" s="21">
        <f>T12</f>
        <v>0</v>
      </c>
      <c r="W38" s="22"/>
      <c r="X38" s="125"/>
      <c r="Y38" s="123"/>
      <c r="Z38" s="123">
        <v>0.36458333333333331</v>
      </c>
      <c r="AA38" s="207">
        <f>Y12</f>
        <v>2.1250000000000018</v>
      </c>
      <c r="AB38" s="22"/>
      <c r="AC38" s="125"/>
      <c r="AD38" s="123"/>
      <c r="AE38" s="123">
        <v>0.36458333333333331</v>
      </c>
      <c r="AF38" s="207">
        <f>AD12</f>
        <v>27.183333333333337</v>
      </c>
      <c r="AH38" s="125"/>
      <c r="AI38" s="123"/>
      <c r="AJ38" s="123">
        <v>0.36458333333333331</v>
      </c>
      <c r="AK38" s="21">
        <f>AI12</f>
        <v>0</v>
      </c>
      <c r="AM38" s="125"/>
      <c r="AN38" s="123"/>
      <c r="AO38" s="123">
        <v>0.36458333333333331</v>
      </c>
      <c r="AP38" s="21">
        <f>AN12</f>
        <v>0</v>
      </c>
    </row>
    <row r="39" spans="1:42" x14ac:dyDescent="0.3">
      <c r="A39" s="123">
        <v>0.35416666666666669</v>
      </c>
      <c r="B39" s="203">
        <f t="shared" si="1"/>
        <v>0</v>
      </c>
      <c r="D39" s="125"/>
      <c r="E39" s="123"/>
      <c r="F39" s="123">
        <v>0.375</v>
      </c>
      <c r="G39" s="21">
        <f>E12</f>
        <v>0</v>
      </c>
      <c r="H39" s="22"/>
      <c r="I39" s="125"/>
      <c r="J39" s="123"/>
      <c r="K39" s="123">
        <v>0.375</v>
      </c>
      <c r="L39" s="21">
        <f>J12</f>
        <v>0</v>
      </c>
      <c r="M39" s="22"/>
      <c r="N39" s="125"/>
      <c r="O39" s="123"/>
      <c r="P39" s="123">
        <v>0.375</v>
      </c>
      <c r="Q39" s="21">
        <f>O12</f>
        <v>25.916666666666671</v>
      </c>
      <c r="R39" s="22"/>
      <c r="S39" s="125"/>
      <c r="T39" s="123"/>
      <c r="U39" s="123">
        <v>0.375</v>
      </c>
      <c r="V39" s="21">
        <f>T12</f>
        <v>0</v>
      </c>
      <c r="W39" s="22"/>
      <c r="X39" s="125"/>
      <c r="Y39" s="123"/>
      <c r="Z39" s="123">
        <v>0.375</v>
      </c>
      <c r="AA39" s="207">
        <f>Y12</f>
        <v>2.1250000000000018</v>
      </c>
      <c r="AB39" s="22"/>
      <c r="AC39" s="125"/>
      <c r="AD39" s="123"/>
      <c r="AE39" s="123">
        <v>0.375</v>
      </c>
      <c r="AF39" s="207">
        <f>AD12</f>
        <v>27.183333333333337</v>
      </c>
      <c r="AH39" s="125"/>
      <c r="AI39" s="123"/>
      <c r="AJ39" s="123">
        <v>0.375</v>
      </c>
      <c r="AK39" s="21">
        <f>AI12</f>
        <v>0</v>
      </c>
      <c r="AM39" s="125"/>
      <c r="AN39" s="123"/>
      <c r="AO39" s="123">
        <v>0.375</v>
      </c>
      <c r="AP39" s="21">
        <f>AN12</f>
        <v>0</v>
      </c>
    </row>
    <row r="40" spans="1:42" x14ac:dyDescent="0.3">
      <c r="A40" s="123">
        <v>0.36458333333333331</v>
      </c>
      <c r="B40" s="203">
        <f t="shared" si="1"/>
        <v>0</v>
      </c>
      <c r="D40" s="125"/>
      <c r="E40" s="123"/>
      <c r="F40" s="123">
        <v>0.38541666666666669</v>
      </c>
      <c r="G40" s="21">
        <f>E13</f>
        <v>0</v>
      </c>
      <c r="H40" s="22"/>
      <c r="I40" s="125"/>
      <c r="J40" s="123"/>
      <c r="K40" s="123">
        <v>0.38541666666666669</v>
      </c>
      <c r="L40" s="21">
        <f>J13</f>
        <v>0</v>
      </c>
      <c r="M40" s="22"/>
      <c r="N40" s="125"/>
      <c r="O40" s="123"/>
      <c r="P40" s="123">
        <v>0.38541666666666669</v>
      </c>
      <c r="Q40" s="21">
        <f>O13</f>
        <v>28.016666666666673</v>
      </c>
      <c r="R40" s="22"/>
      <c r="S40" s="125"/>
      <c r="T40" s="123"/>
      <c r="U40" s="123">
        <v>0.38541666666666669</v>
      </c>
      <c r="V40" s="21">
        <f>T13</f>
        <v>0</v>
      </c>
      <c r="W40" s="22"/>
      <c r="X40" s="125"/>
      <c r="Y40" s="123"/>
      <c r="Z40" s="123">
        <v>0.38541666666666669</v>
      </c>
      <c r="AA40" s="207">
        <f>Y13</f>
        <v>3.8750000000000009</v>
      </c>
      <c r="AB40" s="22"/>
      <c r="AC40" s="125"/>
      <c r="AD40" s="123"/>
      <c r="AE40" s="123">
        <v>0.38541666666666669</v>
      </c>
      <c r="AF40" s="207">
        <f>AD13</f>
        <v>29.266666666666673</v>
      </c>
      <c r="AH40" s="125"/>
      <c r="AI40" s="123"/>
      <c r="AJ40" s="123">
        <v>0.38541666666666669</v>
      </c>
      <c r="AK40" s="21">
        <f>AI13</f>
        <v>0</v>
      </c>
      <c r="AM40" s="125"/>
      <c r="AN40" s="123"/>
      <c r="AO40" s="123">
        <v>0.38541666666666669</v>
      </c>
      <c r="AP40" s="21">
        <f>AN13</f>
        <v>0</v>
      </c>
    </row>
    <row r="41" spans="1:42" x14ac:dyDescent="0.3">
      <c r="A41" s="123">
        <v>0.375</v>
      </c>
      <c r="B41" s="203">
        <f t="shared" si="1"/>
        <v>0</v>
      </c>
      <c r="D41" s="125"/>
      <c r="E41" s="123"/>
      <c r="F41" s="123">
        <v>0.39583333333333331</v>
      </c>
      <c r="G41" s="21">
        <f>E13</f>
        <v>0</v>
      </c>
      <c r="H41" s="22"/>
      <c r="I41" s="125"/>
      <c r="J41" s="123"/>
      <c r="K41" s="123">
        <v>0.39583333333333331</v>
      </c>
      <c r="L41" s="21">
        <f>J13</f>
        <v>0</v>
      </c>
      <c r="M41" s="22"/>
      <c r="N41" s="125"/>
      <c r="O41" s="123"/>
      <c r="P41" s="123">
        <v>0.39583333333333331</v>
      </c>
      <c r="Q41" s="21">
        <f>O13</f>
        <v>28.016666666666673</v>
      </c>
      <c r="R41" s="22"/>
      <c r="S41" s="125"/>
      <c r="T41" s="123"/>
      <c r="U41" s="123">
        <v>0.39583333333333331</v>
      </c>
      <c r="V41" s="21">
        <f>T13</f>
        <v>0</v>
      </c>
      <c r="W41" s="22"/>
      <c r="X41" s="125"/>
      <c r="Y41" s="123"/>
      <c r="Z41" s="123">
        <v>0.39583333333333331</v>
      </c>
      <c r="AA41" s="207">
        <f>Y13</f>
        <v>3.8750000000000009</v>
      </c>
      <c r="AB41" s="22"/>
      <c r="AC41" s="125"/>
      <c r="AD41" s="123"/>
      <c r="AE41" s="123">
        <v>0.39583333333333331</v>
      </c>
      <c r="AF41" s="207">
        <f>AD13</f>
        <v>29.266666666666673</v>
      </c>
      <c r="AH41" s="125"/>
      <c r="AI41" s="123"/>
      <c r="AJ41" s="123">
        <v>0.39583333333333331</v>
      </c>
      <c r="AK41" s="21">
        <f>AI13</f>
        <v>0</v>
      </c>
      <c r="AM41" s="125"/>
      <c r="AN41" s="123"/>
      <c r="AO41" s="123">
        <v>0.39583333333333331</v>
      </c>
      <c r="AP41" s="21">
        <f>AN13</f>
        <v>0</v>
      </c>
    </row>
    <row r="42" spans="1:42" x14ac:dyDescent="0.3">
      <c r="A42" s="123">
        <v>0.38541666666666669</v>
      </c>
      <c r="B42" s="203">
        <f t="shared" si="1"/>
        <v>0</v>
      </c>
      <c r="D42" s="125"/>
      <c r="E42" s="123"/>
      <c r="F42" s="123">
        <v>0.40625</v>
      </c>
      <c r="G42" s="21">
        <f>E13</f>
        <v>0</v>
      </c>
      <c r="H42" s="22"/>
      <c r="I42" s="125"/>
      <c r="J42" s="123"/>
      <c r="K42" s="123">
        <v>0.40625</v>
      </c>
      <c r="L42" s="21">
        <f>J13</f>
        <v>0</v>
      </c>
      <c r="M42" s="22"/>
      <c r="N42" s="125"/>
      <c r="O42" s="123"/>
      <c r="P42" s="123">
        <v>0.40625</v>
      </c>
      <c r="Q42" s="21">
        <f>O13</f>
        <v>28.016666666666673</v>
      </c>
      <c r="R42" s="22"/>
      <c r="S42" s="125"/>
      <c r="T42" s="123"/>
      <c r="U42" s="123">
        <v>0.40625</v>
      </c>
      <c r="V42" s="21">
        <f>T13</f>
        <v>0</v>
      </c>
      <c r="W42" s="22"/>
      <c r="X42" s="125"/>
      <c r="Y42" s="123"/>
      <c r="Z42" s="123">
        <v>0.40625</v>
      </c>
      <c r="AA42" s="207">
        <f>Y13</f>
        <v>3.8750000000000009</v>
      </c>
      <c r="AB42" s="22"/>
      <c r="AC42" s="125"/>
      <c r="AD42" s="123"/>
      <c r="AE42" s="123">
        <v>0.40625</v>
      </c>
      <c r="AF42" s="207">
        <f>AD13</f>
        <v>29.266666666666673</v>
      </c>
      <c r="AH42" s="125"/>
      <c r="AI42" s="123"/>
      <c r="AJ42" s="123">
        <v>0.40625</v>
      </c>
      <c r="AK42" s="21">
        <f>AI13</f>
        <v>0</v>
      </c>
      <c r="AM42" s="125"/>
      <c r="AN42" s="123"/>
      <c r="AO42" s="123">
        <v>0.40625</v>
      </c>
      <c r="AP42" s="21">
        <f>AN13</f>
        <v>0</v>
      </c>
    </row>
    <row r="43" spans="1:42" x14ac:dyDescent="0.3">
      <c r="A43" s="123">
        <v>0.39583333333333331</v>
      </c>
      <c r="B43" s="203">
        <f t="shared" si="1"/>
        <v>0</v>
      </c>
      <c r="D43" s="125"/>
      <c r="E43" s="123"/>
      <c r="F43" s="123">
        <v>0.41666666666666669</v>
      </c>
      <c r="G43" s="21">
        <f>E13</f>
        <v>0</v>
      </c>
      <c r="H43" s="22"/>
      <c r="I43" s="125"/>
      <c r="J43" s="123"/>
      <c r="K43" s="123">
        <v>0.41666666666666669</v>
      </c>
      <c r="L43" s="21">
        <f>J13</f>
        <v>0</v>
      </c>
      <c r="M43" s="22"/>
      <c r="N43" s="125"/>
      <c r="O43" s="123"/>
      <c r="P43" s="123">
        <v>0.41666666666666669</v>
      </c>
      <c r="Q43" s="21">
        <f>O13</f>
        <v>28.016666666666673</v>
      </c>
      <c r="R43" s="22"/>
      <c r="S43" s="125"/>
      <c r="T43" s="123"/>
      <c r="U43" s="123">
        <v>0.41666666666666669</v>
      </c>
      <c r="V43" s="21">
        <f>T13</f>
        <v>0</v>
      </c>
      <c r="W43" s="22"/>
      <c r="X43" s="125"/>
      <c r="Y43" s="123"/>
      <c r="Z43" s="123">
        <v>0.41666666666666669</v>
      </c>
      <c r="AA43" s="207">
        <f>Y13</f>
        <v>3.8750000000000009</v>
      </c>
      <c r="AB43" s="22"/>
      <c r="AC43" s="125"/>
      <c r="AD43" s="123"/>
      <c r="AE43" s="123">
        <v>0.41666666666666669</v>
      </c>
      <c r="AF43" s="207">
        <f>AD13</f>
        <v>29.266666666666673</v>
      </c>
      <c r="AH43" s="125"/>
      <c r="AI43" s="123"/>
      <c r="AJ43" s="123">
        <v>0.41666666666666669</v>
      </c>
      <c r="AK43" s="21">
        <f>AI13</f>
        <v>0</v>
      </c>
      <c r="AM43" s="125"/>
      <c r="AN43" s="123"/>
      <c r="AO43" s="123">
        <v>0.41666666666666669</v>
      </c>
      <c r="AP43" s="21">
        <f>AN13</f>
        <v>0</v>
      </c>
    </row>
    <row r="44" spans="1:42" x14ac:dyDescent="0.3">
      <c r="A44" s="123">
        <v>0.40625</v>
      </c>
      <c r="B44" s="203">
        <f t="shared" si="1"/>
        <v>0</v>
      </c>
      <c r="D44" s="125"/>
      <c r="E44" s="123"/>
      <c r="F44" s="123">
        <v>0.42708333333333331</v>
      </c>
      <c r="G44" s="21">
        <f>E14</f>
        <v>0</v>
      </c>
      <c r="H44" s="22"/>
      <c r="I44" s="125"/>
      <c r="J44" s="123"/>
      <c r="K44" s="123">
        <v>0.42708333333333331</v>
      </c>
      <c r="L44" s="21">
        <f>J14</f>
        <v>0</v>
      </c>
      <c r="M44" s="22"/>
      <c r="N44" s="125"/>
      <c r="O44" s="123"/>
      <c r="P44" s="123">
        <v>0.42708333333333331</v>
      </c>
      <c r="Q44" s="21">
        <f>O14</f>
        <v>30.033333333333335</v>
      </c>
      <c r="R44" s="22"/>
      <c r="S44" s="125"/>
      <c r="T44" s="123"/>
      <c r="U44" s="123">
        <v>0.42708333333333331</v>
      </c>
      <c r="V44" s="21">
        <f>T14</f>
        <v>0</v>
      </c>
      <c r="W44" s="22"/>
      <c r="X44" s="125"/>
      <c r="Y44" s="123"/>
      <c r="Z44" s="123">
        <v>0.42708333333333331</v>
      </c>
      <c r="AA44" s="207">
        <f>Y14</f>
        <v>5.2583333333333355</v>
      </c>
      <c r="AB44" s="22"/>
      <c r="AC44" s="125"/>
      <c r="AD44" s="123"/>
      <c r="AE44" s="123">
        <v>0.42708333333333331</v>
      </c>
      <c r="AF44" s="207">
        <f>AD14</f>
        <v>30.741666666666664</v>
      </c>
      <c r="AH44" s="125"/>
      <c r="AI44" s="123"/>
      <c r="AJ44" s="123">
        <v>0.42708333333333331</v>
      </c>
      <c r="AK44" s="21">
        <f>AI14</f>
        <v>0</v>
      </c>
      <c r="AM44" s="125"/>
      <c r="AN44" s="123"/>
      <c r="AO44" s="123">
        <v>0.42708333333333331</v>
      </c>
      <c r="AP44" s="21">
        <f>AN14</f>
        <v>0</v>
      </c>
    </row>
    <row r="45" spans="1:42" x14ac:dyDescent="0.3">
      <c r="A45" s="123">
        <v>0.41666666666666669</v>
      </c>
      <c r="B45" s="203">
        <f t="shared" si="1"/>
        <v>0</v>
      </c>
      <c r="D45" s="125"/>
      <c r="E45" s="123"/>
      <c r="F45" s="123">
        <v>0.4375</v>
      </c>
      <c r="G45" s="21">
        <f>E14</f>
        <v>0</v>
      </c>
      <c r="H45" s="22"/>
      <c r="I45" s="125"/>
      <c r="J45" s="123"/>
      <c r="K45" s="123">
        <v>0.4375</v>
      </c>
      <c r="L45" s="21">
        <f>J14</f>
        <v>0</v>
      </c>
      <c r="M45" s="22"/>
      <c r="N45" s="125"/>
      <c r="O45" s="123"/>
      <c r="P45" s="123">
        <v>0.4375</v>
      </c>
      <c r="Q45" s="21">
        <f>O14</f>
        <v>30.033333333333335</v>
      </c>
      <c r="R45" s="22"/>
      <c r="S45" s="125"/>
      <c r="T45" s="123"/>
      <c r="U45" s="123">
        <v>0.4375</v>
      </c>
      <c r="V45" s="21">
        <f>T14</f>
        <v>0</v>
      </c>
      <c r="W45" s="22"/>
      <c r="X45" s="125"/>
      <c r="Y45" s="123"/>
      <c r="Z45" s="123">
        <v>0.4375</v>
      </c>
      <c r="AA45" s="207">
        <f>Y14</f>
        <v>5.2583333333333355</v>
      </c>
      <c r="AB45" s="22"/>
      <c r="AC45" s="125"/>
      <c r="AD45" s="123"/>
      <c r="AE45" s="123">
        <v>0.4375</v>
      </c>
      <c r="AF45" s="207">
        <f>AD14</f>
        <v>30.741666666666664</v>
      </c>
      <c r="AH45" s="125"/>
      <c r="AI45" s="123"/>
      <c r="AJ45" s="123">
        <v>0.4375</v>
      </c>
      <c r="AK45" s="21">
        <f>AI14</f>
        <v>0</v>
      </c>
      <c r="AM45" s="125"/>
      <c r="AN45" s="123"/>
      <c r="AO45" s="123">
        <v>0.4375</v>
      </c>
      <c r="AP45" s="21">
        <f>AN14</f>
        <v>0</v>
      </c>
    </row>
    <row r="46" spans="1:42" x14ac:dyDescent="0.3">
      <c r="A46" s="123">
        <v>0.42708333333333331</v>
      </c>
      <c r="B46" s="203">
        <f t="shared" si="1"/>
        <v>0</v>
      </c>
      <c r="D46" s="125"/>
      <c r="E46" s="123"/>
      <c r="F46" s="123">
        <v>0.44791666666666669</v>
      </c>
      <c r="G46" s="21">
        <f>E14</f>
        <v>0</v>
      </c>
      <c r="H46" s="22"/>
      <c r="I46" s="125"/>
      <c r="J46" s="123"/>
      <c r="K46" s="123">
        <v>0.44791666666666669</v>
      </c>
      <c r="L46" s="21">
        <f>J14</f>
        <v>0</v>
      </c>
      <c r="M46" s="22"/>
      <c r="N46" s="125"/>
      <c r="O46" s="123"/>
      <c r="P46" s="123">
        <v>0.44791666666666669</v>
      </c>
      <c r="Q46" s="21">
        <f>O14</f>
        <v>30.033333333333335</v>
      </c>
      <c r="R46" s="22"/>
      <c r="S46" s="125"/>
      <c r="T46" s="123"/>
      <c r="U46" s="123">
        <v>0.44791666666666669</v>
      </c>
      <c r="V46" s="21">
        <f>T14</f>
        <v>0</v>
      </c>
      <c r="W46" s="22"/>
      <c r="X46" s="125"/>
      <c r="Y46" s="123"/>
      <c r="Z46" s="123">
        <v>0.44791666666666669</v>
      </c>
      <c r="AA46" s="207">
        <f>Y14</f>
        <v>5.2583333333333355</v>
      </c>
      <c r="AB46" s="22"/>
      <c r="AC46" s="125"/>
      <c r="AD46" s="123"/>
      <c r="AE46" s="123">
        <v>0.44791666666666669</v>
      </c>
      <c r="AF46" s="207">
        <f>AD14</f>
        <v>30.741666666666664</v>
      </c>
      <c r="AH46" s="125"/>
      <c r="AI46" s="123"/>
      <c r="AJ46" s="123">
        <v>0.44791666666666669</v>
      </c>
      <c r="AK46" s="21">
        <f>AI14</f>
        <v>0</v>
      </c>
      <c r="AM46" s="125"/>
      <c r="AN46" s="123"/>
      <c r="AO46" s="123">
        <v>0.44791666666666669</v>
      </c>
      <c r="AP46" s="21">
        <f>AN14</f>
        <v>0</v>
      </c>
    </row>
    <row r="47" spans="1:42" x14ac:dyDescent="0.3">
      <c r="A47" s="123">
        <v>0.4375</v>
      </c>
      <c r="B47" s="203">
        <f t="shared" si="1"/>
        <v>0</v>
      </c>
      <c r="D47" s="125"/>
      <c r="E47" s="123"/>
      <c r="F47" s="123">
        <v>0.45833333333333331</v>
      </c>
      <c r="G47" s="21">
        <f>E14</f>
        <v>0</v>
      </c>
      <c r="H47" s="22"/>
      <c r="I47" s="125"/>
      <c r="J47" s="123"/>
      <c r="K47" s="123">
        <v>0.45833333333333331</v>
      </c>
      <c r="L47" s="21">
        <f>J14</f>
        <v>0</v>
      </c>
      <c r="M47" s="22"/>
      <c r="N47" s="125"/>
      <c r="O47" s="123"/>
      <c r="P47" s="123">
        <v>0.45833333333333331</v>
      </c>
      <c r="Q47" s="21">
        <f>O14</f>
        <v>30.033333333333335</v>
      </c>
      <c r="R47" s="22"/>
      <c r="S47" s="125"/>
      <c r="T47" s="123"/>
      <c r="U47" s="123">
        <v>0.45833333333333331</v>
      </c>
      <c r="V47" s="21">
        <f>T14</f>
        <v>0</v>
      </c>
      <c r="W47" s="22"/>
      <c r="X47" s="125"/>
      <c r="Y47" s="123"/>
      <c r="Z47" s="123">
        <v>0.45833333333333331</v>
      </c>
      <c r="AA47" s="207">
        <f>Y14</f>
        <v>5.2583333333333355</v>
      </c>
      <c r="AB47" s="22"/>
      <c r="AC47" s="125"/>
      <c r="AD47" s="123"/>
      <c r="AE47" s="123">
        <v>0.45833333333333331</v>
      </c>
      <c r="AF47" s="207">
        <f>AD14</f>
        <v>30.741666666666664</v>
      </c>
      <c r="AH47" s="125"/>
      <c r="AI47" s="123"/>
      <c r="AJ47" s="123">
        <v>0.45833333333333331</v>
      </c>
      <c r="AK47" s="21">
        <f>AI14</f>
        <v>0</v>
      </c>
      <c r="AM47" s="125"/>
      <c r="AN47" s="123"/>
      <c r="AO47" s="123">
        <v>0.45833333333333331</v>
      </c>
      <c r="AP47" s="21">
        <f>AN14</f>
        <v>0</v>
      </c>
    </row>
    <row r="48" spans="1:42" x14ac:dyDescent="0.3">
      <c r="A48" s="123">
        <v>0.44791666666666669</v>
      </c>
      <c r="B48" s="203">
        <f t="shared" si="1"/>
        <v>0</v>
      </c>
      <c r="D48" s="125"/>
      <c r="E48" s="123"/>
      <c r="F48" s="123">
        <v>0.46875</v>
      </c>
      <c r="G48" s="21">
        <f>E15</f>
        <v>0</v>
      </c>
      <c r="H48" s="22"/>
      <c r="I48" s="125"/>
      <c r="J48" s="123"/>
      <c r="K48" s="123">
        <v>0.46875</v>
      </c>
      <c r="L48" s="21">
        <f>J15</f>
        <v>0</v>
      </c>
      <c r="M48" s="22"/>
      <c r="N48" s="125"/>
      <c r="O48" s="123"/>
      <c r="P48" s="123">
        <v>0.46875</v>
      </c>
      <c r="Q48" s="21">
        <f>O15</f>
        <v>30.991666666666667</v>
      </c>
      <c r="R48" s="22"/>
      <c r="S48" s="125"/>
      <c r="T48" s="123"/>
      <c r="U48" s="123">
        <v>0.46875</v>
      </c>
      <c r="V48" s="21">
        <f>T15</f>
        <v>0</v>
      </c>
      <c r="W48" s="22"/>
      <c r="X48" s="125"/>
      <c r="Y48" s="123"/>
      <c r="Z48" s="123">
        <v>0.46875</v>
      </c>
      <c r="AA48" s="207">
        <f>Y15</f>
        <v>6.3249999999999993</v>
      </c>
      <c r="AB48" s="22"/>
      <c r="AC48" s="125"/>
      <c r="AD48" s="123"/>
      <c r="AE48" s="123">
        <v>0.46875</v>
      </c>
      <c r="AF48" s="207">
        <f>AD15</f>
        <v>31.841666666666669</v>
      </c>
      <c r="AH48" s="125"/>
      <c r="AI48" s="123"/>
      <c r="AJ48" s="123">
        <v>0.46875</v>
      </c>
      <c r="AK48" s="21">
        <f>AI15</f>
        <v>0</v>
      </c>
      <c r="AM48" s="125"/>
      <c r="AN48" s="123"/>
      <c r="AO48" s="123">
        <v>0.46875</v>
      </c>
      <c r="AP48" s="21">
        <f>AN15</f>
        <v>0</v>
      </c>
    </row>
    <row r="49" spans="1:42" x14ac:dyDescent="0.3">
      <c r="A49" s="123">
        <v>0.45833333333333331</v>
      </c>
      <c r="B49" s="203">
        <f t="shared" si="1"/>
        <v>0</v>
      </c>
      <c r="D49" s="125"/>
      <c r="E49" s="123"/>
      <c r="F49" s="123">
        <v>0.47916666666666669</v>
      </c>
      <c r="G49" s="21">
        <f>E15</f>
        <v>0</v>
      </c>
      <c r="H49" s="22"/>
      <c r="I49" s="125"/>
      <c r="J49" s="123"/>
      <c r="K49" s="123">
        <v>0.47916666666666669</v>
      </c>
      <c r="L49" s="21">
        <f>J15</f>
        <v>0</v>
      </c>
      <c r="M49" s="22"/>
      <c r="N49" s="125"/>
      <c r="O49" s="123"/>
      <c r="P49" s="123">
        <v>0.47916666666666669</v>
      </c>
      <c r="Q49" s="21">
        <f>O15</f>
        <v>30.991666666666667</v>
      </c>
      <c r="R49" s="22"/>
      <c r="S49" s="125"/>
      <c r="T49" s="123"/>
      <c r="U49" s="123">
        <v>0.47916666666666669</v>
      </c>
      <c r="V49" s="21">
        <f>T15</f>
        <v>0</v>
      </c>
      <c r="W49" s="22"/>
      <c r="X49" s="125"/>
      <c r="Y49" s="123"/>
      <c r="Z49" s="123">
        <v>0.47916666666666669</v>
      </c>
      <c r="AA49" s="207">
        <f>Y15</f>
        <v>6.3249999999999993</v>
      </c>
      <c r="AB49" s="22"/>
      <c r="AC49" s="125"/>
      <c r="AD49" s="123"/>
      <c r="AE49" s="123">
        <v>0.47916666666666669</v>
      </c>
      <c r="AF49" s="207">
        <f>AD15</f>
        <v>31.841666666666669</v>
      </c>
      <c r="AH49" s="125"/>
      <c r="AI49" s="123"/>
      <c r="AJ49" s="123">
        <v>0.47916666666666669</v>
      </c>
      <c r="AK49" s="21">
        <f>AI15</f>
        <v>0</v>
      </c>
      <c r="AM49" s="125"/>
      <c r="AN49" s="123"/>
      <c r="AO49" s="123">
        <v>0.47916666666666669</v>
      </c>
      <c r="AP49" s="21">
        <f>AN15</f>
        <v>0</v>
      </c>
    </row>
    <row r="50" spans="1:42" x14ac:dyDescent="0.3">
      <c r="A50" s="123">
        <v>0.46875</v>
      </c>
      <c r="B50" s="203">
        <f t="shared" si="1"/>
        <v>0</v>
      </c>
      <c r="D50" s="125"/>
      <c r="E50" s="123"/>
      <c r="F50" s="123">
        <v>0.48958333333333331</v>
      </c>
      <c r="G50" s="21">
        <f>E15</f>
        <v>0</v>
      </c>
      <c r="H50" s="22"/>
      <c r="I50" s="125"/>
      <c r="J50" s="123"/>
      <c r="K50" s="123">
        <v>0.48958333333333331</v>
      </c>
      <c r="L50" s="21">
        <f>J15</f>
        <v>0</v>
      </c>
      <c r="M50" s="22"/>
      <c r="N50" s="125"/>
      <c r="O50" s="123"/>
      <c r="P50" s="123">
        <v>0.48958333333333331</v>
      </c>
      <c r="Q50" s="21">
        <f>O15</f>
        <v>30.991666666666667</v>
      </c>
      <c r="R50" s="22"/>
      <c r="S50" s="125"/>
      <c r="T50" s="123"/>
      <c r="U50" s="123">
        <v>0.48958333333333331</v>
      </c>
      <c r="V50" s="21">
        <f>T15</f>
        <v>0</v>
      </c>
      <c r="W50" s="22"/>
      <c r="X50" s="125"/>
      <c r="Y50" s="123"/>
      <c r="Z50" s="123">
        <v>0.48958333333333331</v>
      </c>
      <c r="AA50" s="207">
        <f>Y15</f>
        <v>6.3249999999999993</v>
      </c>
      <c r="AB50" s="22"/>
      <c r="AC50" s="125"/>
      <c r="AD50" s="123"/>
      <c r="AE50" s="123">
        <v>0.48958333333333331</v>
      </c>
      <c r="AF50" s="207">
        <f>AD15</f>
        <v>31.841666666666669</v>
      </c>
      <c r="AH50" s="125"/>
      <c r="AI50" s="123"/>
      <c r="AJ50" s="123">
        <v>0.48958333333333331</v>
      </c>
      <c r="AK50" s="21">
        <f>AI15</f>
        <v>0</v>
      </c>
      <c r="AM50" s="125"/>
      <c r="AN50" s="123"/>
      <c r="AO50" s="123">
        <v>0.48958333333333331</v>
      </c>
      <c r="AP50" s="21">
        <f>AN15</f>
        <v>0</v>
      </c>
    </row>
    <row r="51" spans="1:42" x14ac:dyDescent="0.3">
      <c r="A51" s="123">
        <v>0.47916666666666669</v>
      </c>
      <c r="B51" s="203">
        <f t="shared" si="1"/>
        <v>0</v>
      </c>
      <c r="D51" s="125"/>
      <c r="E51" s="123"/>
      <c r="F51" s="123">
        <v>0.5</v>
      </c>
      <c r="G51" s="21">
        <f>E15</f>
        <v>0</v>
      </c>
      <c r="H51" s="22"/>
      <c r="I51" s="125"/>
      <c r="J51" s="123"/>
      <c r="K51" s="123">
        <v>0.5</v>
      </c>
      <c r="L51" s="21">
        <f>J15</f>
        <v>0</v>
      </c>
      <c r="M51" s="22"/>
      <c r="N51" s="125"/>
      <c r="O51" s="123"/>
      <c r="P51" s="123">
        <v>0.5</v>
      </c>
      <c r="Q51" s="21">
        <f>O15</f>
        <v>30.991666666666667</v>
      </c>
      <c r="R51" s="22"/>
      <c r="S51" s="125"/>
      <c r="T51" s="123"/>
      <c r="U51" s="123">
        <v>0.5</v>
      </c>
      <c r="V51" s="21">
        <f>T15</f>
        <v>0</v>
      </c>
      <c r="W51" s="22"/>
      <c r="X51" s="125"/>
      <c r="Y51" s="123"/>
      <c r="Z51" s="123">
        <v>0.5</v>
      </c>
      <c r="AA51" s="207">
        <f>Y15</f>
        <v>6.3249999999999993</v>
      </c>
      <c r="AB51" s="22"/>
      <c r="AC51" s="125"/>
      <c r="AD51" s="123"/>
      <c r="AE51" s="123">
        <v>0.5</v>
      </c>
      <c r="AF51" s="207">
        <f>AD15</f>
        <v>31.841666666666669</v>
      </c>
      <c r="AH51" s="125"/>
      <c r="AI51" s="123"/>
      <c r="AJ51" s="123">
        <v>0.5</v>
      </c>
      <c r="AK51" s="21">
        <f>AI15</f>
        <v>0</v>
      </c>
      <c r="AM51" s="125"/>
      <c r="AN51" s="123"/>
      <c r="AO51" s="123">
        <v>0.5</v>
      </c>
      <c r="AP51" s="21">
        <f>AN15</f>
        <v>0</v>
      </c>
    </row>
    <row r="52" spans="1:42" x14ac:dyDescent="0.3">
      <c r="A52" s="123">
        <v>0.48958333333333331</v>
      </c>
      <c r="B52" s="203">
        <f t="shared" si="1"/>
        <v>0</v>
      </c>
      <c r="D52" s="125"/>
      <c r="E52" s="123"/>
      <c r="F52" s="123">
        <v>0.51041666666666663</v>
      </c>
      <c r="G52" s="21">
        <f>E16</f>
        <v>0</v>
      </c>
      <c r="H52" s="22"/>
      <c r="I52" s="125"/>
      <c r="J52" s="123"/>
      <c r="K52" s="123">
        <v>0.51041666666666663</v>
      </c>
      <c r="L52" s="21">
        <f>J16</f>
        <v>0</v>
      </c>
      <c r="M52" s="22"/>
      <c r="N52" s="125"/>
      <c r="O52" s="123"/>
      <c r="P52" s="123">
        <v>0.51041666666666663</v>
      </c>
      <c r="Q52" s="21">
        <f>O16</f>
        <v>31.491666666666671</v>
      </c>
      <c r="R52" s="22"/>
      <c r="S52" s="125"/>
      <c r="T52" s="123"/>
      <c r="U52" s="123">
        <v>0.51041666666666663</v>
      </c>
      <c r="V52" s="21">
        <f>T16</f>
        <v>0</v>
      </c>
      <c r="W52" s="22"/>
      <c r="X52" s="125"/>
      <c r="Y52" s="123"/>
      <c r="Z52" s="123">
        <v>0.51041666666666663</v>
      </c>
      <c r="AA52" s="207">
        <f>Y16</f>
        <v>7.6916666666666664</v>
      </c>
      <c r="AB52" s="22"/>
      <c r="AC52" s="125"/>
      <c r="AD52" s="123"/>
      <c r="AE52" s="123">
        <v>0.51041666666666663</v>
      </c>
      <c r="AF52" s="207">
        <f>AD16</f>
        <v>33.875</v>
      </c>
      <c r="AH52" s="125"/>
      <c r="AI52" s="123"/>
      <c r="AJ52" s="123">
        <v>0.51041666666666663</v>
      </c>
      <c r="AK52" s="21">
        <f>AI16</f>
        <v>0</v>
      </c>
      <c r="AM52" s="125"/>
      <c r="AN52" s="123"/>
      <c r="AO52" s="123">
        <v>0.51041666666666663</v>
      </c>
      <c r="AP52" s="21">
        <f>AN16</f>
        <v>0</v>
      </c>
    </row>
    <row r="53" spans="1:42" x14ac:dyDescent="0.3">
      <c r="A53" s="123">
        <v>0.5</v>
      </c>
      <c r="B53" s="203">
        <f t="shared" si="1"/>
        <v>0</v>
      </c>
      <c r="D53" s="125"/>
      <c r="E53" s="123"/>
      <c r="F53" s="123">
        <v>0.52083333333333337</v>
      </c>
      <c r="G53" s="21">
        <f>E16</f>
        <v>0</v>
      </c>
      <c r="H53" s="22"/>
      <c r="I53" s="125"/>
      <c r="J53" s="123"/>
      <c r="K53" s="123">
        <v>0.52083333333333337</v>
      </c>
      <c r="L53" s="21">
        <f>J16</f>
        <v>0</v>
      </c>
      <c r="M53" s="22"/>
      <c r="N53" s="125"/>
      <c r="O53" s="123"/>
      <c r="P53" s="123">
        <v>0.52083333333333337</v>
      </c>
      <c r="Q53" s="21">
        <f>O16</f>
        <v>31.491666666666671</v>
      </c>
      <c r="R53" s="22"/>
      <c r="S53" s="125"/>
      <c r="T53" s="123"/>
      <c r="U53" s="123">
        <v>0.52083333333333337</v>
      </c>
      <c r="V53" s="21">
        <f>T16</f>
        <v>0</v>
      </c>
      <c r="W53" s="22"/>
      <c r="X53" s="125"/>
      <c r="Y53" s="123"/>
      <c r="Z53" s="123">
        <v>0.52083333333333337</v>
      </c>
      <c r="AA53" s="207">
        <f>Y16</f>
        <v>7.6916666666666664</v>
      </c>
      <c r="AB53" s="22"/>
      <c r="AC53" s="125"/>
      <c r="AD53" s="123"/>
      <c r="AE53" s="123">
        <v>0.52083333333333337</v>
      </c>
      <c r="AF53" s="207">
        <f>AD16</f>
        <v>33.875</v>
      </c>
      <c r="AH53" s="125"/>
      <c r="AI53" s="123"/>
      <c r="AJ53" s="123">
        <v>0.52083333333333337</v>
      </c>
      <c r="AK53" s="21">
        <f>AI16</f>
        <v>0</v>
      </c>
      <c r="AM53" s="125"/>
      <c r="AN53" s="123"/>
      <c r="AO53" s="123">
        <v>0.52083333333333337</v>
      </c>
      <c r="AP53" s="21">
        <f>AN16</f>
        <v>0</v>
      </c>
    </row>
    <row r="54" spans="1:42" x14ac:dyDescent="0.3">
      <c r="A54" s="123">
        <v>0.51041666666666663</v>
      </c>
      <c r="B54" s="203">
        <f t="shared" si="1"/>
        <v>0</v>
      </c>
      <c r="D54" s="125"/>
      <c r="E54" s="123"/>
      <c r="F54" s="123">
        <v>0.53125</v>
      </c>
      <c r="G54" s="21">
        <f>E16</f>
        <v>0</v>
      </c>
      <c r="H54" s="22"/>
      <c r="I54" s="125"/>
      <c r="J54" s="123"/>
      <c r="K54" s="123">
        <v>0.53125</v>
      </c>
      <c r="L54" s="21">
        <f>J16</f>
        <v>0</v>
      </c>
      <c r="M54" s="22"/>
      <c r="N54" s="125"/>
      <c r="O54" s="123"/>
      <c r="P54" s="123">
        <v>0.53125</v>
      </c>
      <c r="Q54" s="21">
        <f>O16</f>
        <v>31.491666666666671</v>
      </c>
      <c r="R54" s="22"/>
      <c r="S54" s="125"/>
      <c r="T54" s="123"/>
      <c r="U54" s="123">
        <v>0.53125</v>
      </c>
      <c r="V54" s="21">
        <f>T16</f>
        <v>0</v>
      </c>
      <c r="W54" s="22"/>
      <c r="X54" s="125"/>
      <c r="Y54" s="123"/>
      <c r="Z54" s="123">
        <v>0.53125</v>
      </c>
      <c r="AA54" s="207">
        <f>Y16</f>
        <v>7.6916666666666664</v>
      </c>
      <c r="AB54" s="22"/>
      <c r="AC54" s="125"/>
      <c r="AD54" s="123"/>
      <c r="AE54" s="123">
        <v>0.53125</v>
      </c>
      <c r="AF54" s="207">
        <f>AD16</f>
        <v>33.875</v>
      </c>
      <c r="AH54" s="125"/>
      <c r="AI54" s="123"/>
      <c r="AJ54" s="123">
        <v>0.53125</v>
      </c>
      <c r="AK54" s="21">
        <f>AI16</f>
        <v>0</v>
      </c>
      <c r="AM54" s="125"/>
      <c r="AN54" s="123"/>
      <c r="AO54" s="123">
        <v>0.53125</v>
      </c>
      <c r="AP54" s="21">
        <f>AN16</f>
        <v>0</v>
      </c>
    </row>
    <row r="55" spans="1:42" x14ac:dyDescent="0.3">
      <c r="A55" s="123">
        <v>0.52083333333333337</v>
      </c>
      <c r="B55" s="203">
        <f t="shared" si="1"/>
        <v>0</v>
      </c>
      <c r="D55" s="125"/>
      <c r="E55" s="123"/>
      <c r="F55" s="123">
        <v>0.54166666666666663</v>
      </c>
      <c r="G55" s="21">
        <f>E16</f>
        <v>0</v>
      </c>
      <c r="H55" s="22"/>
      <c r="I55" s="125"/>
      <c r="J55" s="123"/>
      <c r="K55" s="123">
        <v>0.54166666666666663</v>
      </c>
      <c r="L55" s="21">
        <f>J16</f>
        <v>0</v>
      </c>
      <c r="M55" s="22"/>
      <c r="N55" s="125"/>
      <c r="O55" s="123"/>
      <c r="P55" s="123">
        <v>0.54166666666666663</v>
      </c>
      <c r="Q55" s="21">
        <f>O16</f>
        <v>31.491666666666671</v>
      </c>
      <c r="R55" s="22"/>
      <c r="S55" s="125"/>
      <c r="T55" s="123"/>
      <c r="U55" s="123">
        <v>0.54166666666666663</v>
      </c>
      <c r="V55" s="21">
        <f>T16</f>
        <v>0</v>
      </c>
      <c r="W55" s="22"/>
      <c r="X55" s="125"/>
      <c r="Y55" s="123"/>
      <c r="Z55" s="123">
        <v>0.54166666666666663</v>
      </c>
      <c r="AA55" s="207">
        <f>Y16</f>
        <v>7.6916666666666664</v>
      </c>
      <c r="AB55" s="22"/>
      <c r="AC55" s="125"/>
      <c r="AD55" s="123"/>
      <c r="AE55" s="123">
        <v>0.54166666666666663</v>
      </c>
      <c r="AF55" s="207">
        <f>AD16</f>
        <v>33.875</v>
      </c>
      <c r="AH55" s="125"/>
      <c r="AI55" s="123"/>
      <c r="AJ55" s="123">
        <v>0.54166666666666663</v>
      </c>
      <c r="AK55" s="21">
        <f>AI16</f>
        <v>0</v>
      </c>
      <c r="AM55" s="125"/>
      <c r="AN55" s="123"/>
      <c r="AO55" s="123">
        <v>0.54166666666666663</v>
      </c>
      <c r="AP55" s="21">
        <f>AN16</f>
        <v>0</v>
      </c>
    </row>
    <row r="56" spans="1:42" x14ac:dyDescent="0.3">
      <c r="A56" s="123">
        <v>0.53125</v>
      </c>
      <c r="B56" s="203">
        <f t="shared" si="1"/>
        <v>0</v>
      </c>
      <c r="D56" s="125"/>
      <c r="E56" s="123"/>
      <c r="F56" s="123">
        <v>0.55208333333333337</v>
      </c>
      <c r="G56" s="21">
        <f>E17</f>
        <v>0</v>
      </c>
      <c r="H56" s="22"/>
      <c r="I56" s="125"/>
      <c r="J56" s="123"/>
      <c r="K56" s="123">
        <v>0.55208333333333337</v>
      </c>
      <c r="L56" s="21">
        <f>J17</f>
        <v>0</v>
      </c>
      <c r="M56" s="22"/>
      <c r="N56" s="125"/>
      <c r="O56" s="123"/>
      <c r="P56" s="123">
        <v>0.55208333333333337</v>
      </c>
      <c r="Q56" s="21">
        <f>O17</f>
        <v>32.633333333333333</v>
      </c>
      <c r="R56" s="22"/>
      <c r="S56" s="125"/>
      <c r="T56" s="123"/>
      <c r="U56" s="123">
        <v>0.55208333333333337</v>
      </c>
      <c r="V56" s="21">
        <f>T17</f>
        <v>0</v>
      </c>
      <c r="W56" s="22"/>
      <c r="X56" s="125"/>
      <c r="Y56" s="123"/>
      <c r="Z56" s="123">
        <v>0.55208333333333337</v>
      </c>
      <c r="AA56" s="207">
        <f>Y17</f>
        <v>8.75</v>
      </c>
      <c r="AB56" s="22"/>
      <c r="AC56" s="125"/>
      <c r="AD56" s="123"/>
      <c r="AE56" s="123">
        <v>0.55208333333333337</v>
      </c>
      <c r="AF56" s="207">
        <f>AD17</f>
        <v>34.475000000000009</v>
      </c>
      <c r="AH56" s="125"/>
      <c r="AI56" s="123"/>
      <c r="AJ56" s="123">
        <v>0.55208333333333337</v>
      </c>
      <c r="AK56" s="21">
        <f>AI17</f>
        <v>0</v>
      </c>
      <c r="AM56" s="125"/>
      <c r="AN56" s="123"/>
      <c r="AO56" s="123">
        <v>0.55208333333333337</v>
      </c>
      <c r="AP56" s="21">
        <f>AN17</f>
        <v>0</v>
      </c>
    </row>
    <row r="57" spans="1:42" x14ac:dyDescent="0.3">
      <c r="A57" s="123">
        <v>0.54166666666666663</v>
      </c>
      <c r="B57" s="203">
        <f t="shared" si="1"/>
        <v>0</v>
      </c>
      <c r="D57" s="125"/>
      <c r="E57" s="123"/>
      <c r="F57" s="123">
        <v>0.5625</v>
      </c>
      <c r="G57" s="21">
        <f>E17</f>
        <v>0</v>
      </c>
      <c r="H57" s="22"/>
      <c r="I57" s="125"/>
      <c r="J57" s="123"/>
      <c r="K57" s="123">
        <v>0.5625</v>
      </c>
      <c r="L57" s="21">
        <f>J17</f>
        <v>0</v>
      </c>
      <c r="M57" s="22"/>
      <c r="N57" s="125"/>
      <c r="O57" s="123"/>
      <c r="P57" s="123">
        <v>0.5625</v>
      </c>
      <c r="Q57" s="21">
        <f>O17</f>
        <v>32.633333333333333</v>
      </c>
      <c r="R57" s="22"/>
      <c r="S57" s="125"/>
      <c r="T57" s="123"/>
      <c r="U57" s="123">
        <v>0.5625</v>
      </c>
      <c r="V57" s="21">
        <f>T17</f>
        <v>0</v>
      </c>
      <c r="W57" s="22"/>
      <c r="X57" s="125"/>
      <c r="Y57" s="123"/>
      <c r="Z57" s="123">
        <v>0.5625</v>
      </c>
      <c r="AA57" s="207">
        <f>Y17</f>
        <v>8.75</v>
      </c>
      <c r="AB57" s="22"/>
      <c r="AC57" s="125"/>
      <c r="AD57" s="123"/>
      <c r="AE57" s="123">
        <v>0.5625</v>
      </c>
      <c r="AF57" s="207">
        <f>AD17</f>
        <v>34.475000000000009</v>
      </c>
      <c r="AH57" s="125"/>
      <c r="AI57" s="123"/>
      <c r="AJ57" s="123">
        <v>0.5625</v>
      </c>
      <c r="AK57" s="21">
        <f>AI17</f>
        <v>0</v>
      </c>
      <c r="AM57" s="125"/>
      <c r="AN57" s="123"/>
      <c r="AO57" s="123">
        <v>0.5625</v>
      </c>
      <c r="AP57" s="21">
        <f>AN17</f>
        <v>0</v>
      </c>
    </row>
    <row r="58" spans="1:42" x14ac:dyDescent="0.3">
      <c r="A58" s="123">
        <v>0.55208333333333337</v>
      </c>
      <c r="B58" s="203">
        <f t="shared" si="1"/>
        <v>0</v>
      </c>
      <c r="D58" s="125"/>
      <c r="E58" s="123"/>
      <c r="F58" s="123">
        <v>0.57291666666666663</v>
      </c>
      <c r="G58" s="21">
        <f>E17</f>
        <v>0</v>
      </c>
      <c r="H58" s="22"/>
      <c r="I58" s="125"/>
      <c r="J58" s="123"/>
      <c r="K58" s="123">
        <v>0.57291666666666663</v>
      </c>
      <c r="L58" s="21">
        <f>J17</f>
        <v>0</v>
      </c>
      <c r="M58" s="22"/>
      <c r="N58" s="125"/>
      <c r="O58" s="123"/>
      <c r="P58" s="123">
        <v>0.57291666666666663</v>
      </c>
      <c r="Q58" s="21">
        <f>O17</f>
        <v>32.633333333333333</v>
      </c>
      <c r="R58" s="22"/>
      <c r="S58" s="125"/>
      <c r="T58" s="123"/>
      <c r="U58" s="123">
        <v>0.57291666666666663</v>
      </c>
      <c r="V58" s="21">
        <f>T17</f>
        <v>0</v>
      </c>
      <c r="W58" s="22"/>
      <c r="X58" s="125"/>
      <c r="Y58" s="123"/>
      <c r="Z58" s="123">
        <v>0.57291666666666663</v>
      </c>
      <c r="AA58" s="207">
        <f>Y17</f>
        <v>8.75</v>
      </c>
      <c r="AB58" s="22"/>
      <c r="AC58" s="125"/>
      <c r="AD58" s="123"/>
      <c r="AE58" s="123">
        <v>0.57291666666666663</v>
      </c>
      <c r="AF58" s="207">
        <f>AD17</f>
        <v>34.475000000000009</v>
      </c>
      <c r="AH58" s="125"/>
      <c r="AI58" s="123"/>
      <c r="AJ58" s="123">
        <v>0.57291666666666663</v>
      </c>
      <c r="AK58" s="21">
        <f>AI17</f>
        <v>0</v>
      </c>
      <c r="AM58" s="125"/>
      <c r="AN58" s="123"/>
      <c r="AO58" s="123">
        <v>0.57291666666666663</v>
      </c>
      <c r="AP58" s="21">
        <f>AN17</f>
        <v>0</v>
      </c>
    </row>
    <row r="59" spans="1:42" x14ac:dyDescent="0.3">
      <c r="A59" s="123">
        <v>0.5625</v>
      </c>
      <c r="B59" s="203">
        <f t="shared" si="1"/>
        <v>0</v>
      </c>
      <c r="D59" s="125"/>
      <c r="E59" s="123"/>
      <c r="F59" s="123">
        <v>0.58333333333333337</v>
      </c>
      <c r="G59" s="21">
        <f>E17</f>
        <v>0</v>
      </c>
      <c r="H59" s="22"/>
      <c r="I59" s="125"/>
      <c r="J59" s="123"/>
      <c r="K59" s="123">
        <v>0.58333333333333337</v>
      </c>
      <c r="L59" s="21">
        <f>J17</f>
        <v>0</v>
      </c>
      <c r="M59" s="22"/>
      <c r="N59" s="125"/>
      <c r="O59" s="123"/>
      <c r="P59" s="123">
        <v>0.58333333333333337</v>
      </c>
      <c r="Q59" s="21">
        <f>O17</f>
        <v>32.633333333333333</v>
      </c>
      <c r="R59" s="22"/>
      <c r="S59" s="125"/>
      <c r="T59" s="123"/>
      <c r="U59" s="123">
        <v>0.58333333333333337</v>
      </c>
      <c r="V59" s="21">
        <f>T17</f>
        <v>0</v>
      </c>
      <c r="W59" s="22"/>
      <c r="X59" s="125"/>
      <c r="Y59" s="123"/>
      <c r="Z59" s="123">
        <v>0.58333333333333337</v>
      </c>
      <c r="AA59" s="207">
        <f>Y17</f>
        <v>8.75</v>
      </c>
      <c r="AB59" s="22"/>
      <c r="AC59" s="125"/>
      <c r="AD59" s="123"/>
      <c r="AE59" s="123">
        <v>0.58333333333333337</v>
      </c>
      <c r="AF59" s="207">
        <f>AD17</f>
        <v>34.475000000000009</v>
      </c>
      <c r="AH59" s="125"/>
      <c r="AI59" s="123"/>
      <c r="AJ59" s="123">
        <v>0.58333333333333337</v>
      </c>
      <c r="AK59" s="21">
        <f>AI17</f>
        <v>0</v>
      </c>
      <c r="AM59" s="125"/>
      <c r="AN59" s="123"/>
      <c r="AO59" s="123">
        <v>0.58333333333333337</v>
      </c>
      <c r="AP59" s="21">
        <f>AN17</f>
        <v>0</v>
      </c>
    </row>
    <row r="60" spans="1:42" x14ac:dyDescent="0.3">
      <c r="A60" s="123">
        <v>0.57291666666666663</v>
      </c>
      <c r="B60" s="203">
        <f t="shared" si="1"/>
        <v>0</v>
      </c>
      <c r="D60" s="125"/>
      <c r="E60" s="123"/>
      <c r="F60" s="123">
        <v>0.59375</v>
      </c>
      <c r="G60" s="21">
        <f>E18</f>
        <v>0</v>
      </c>
      <c r="H60" s="22"/>
      <c r="I60" s="125"/>
      <c r="J60" s="123"/>
      <c r="K60" s="123">
        <v>0.59375</v>
      </c>
      <c r="L60" s="21">
        <f>J18</f>
        <v>0</v>
      </c>
      <c r="M60" s="22"/>
      <c r="N60" s="125"/>
      <c r="O60" s="123"/>
      <c r="P60" s="123">
        <v>0.59375</v>
      </c>
      <c r="Q60" s="21">
        <f>O18</f>
        <v>33.358333333333334</v>
      </c>
      <c r="R60" s="22"/>
      <c r="S60" s="125"/>
      <c r="T60" s="123"/>
      <c r="U60" s="123">
        <v>0.59375</v>
      </c>
      <c r="V60" s="21">
        <f>T18</f>
        <v>0</v>
      </c>
      <c r="W60" s="22"/>
      <c r="X60" s="125"/>
      <c r="Y60" s="123"/>
      <c r="Z60" s="123">
        <v>0.59375</v>
      </c>
      <c r="AA60" s="207">
        <f>Y18</f>
        <v>9.2333333333333325</v>
      </c>
      <c r="AB60" s="22"/>
      <c r="AC60" s="125"/>
      <c r="AD60" s="123"/>
      <c r="AE60" s="123">
        <v>0.59375</v>
      </c>
      <c r="AF60" s="207">
        <f>AD18</f>
        <v>35.033333333333339</v>
      </c>
      <c r="AH60" s="125"/>
      <c r="AI60" s="123"/>
      <c r="AJ60" s="123">
        <v>0.59375</v>
      </c>
      <c r="AK60" s="21">
        <f>AI18</f>
        <v>0</v>
      </c>
      <c r="AM60" s="125"/>
      <c r="AN60" s="123"/>
      <c r="AO60" s="123">
        <v>0.59375</v>
      </c>
      <c r="AP60" s="21">
        <f>AN18</f>
        <v>0</v>
      </c>
    </row>
    <row r="61" spans="1:42" x14ac:dyDescent="0.3">
      <c r="A61" s="123">
        <v>0.58333333333333337</v>
      </c>
      <c r="B61" s="203">
        <f t="shared" si="1"/>
        <v>0</v>
      </c>
      <c r="D61" s="125"/>
      <c r="E61" s="123"/>
      <c r="F61" s="123">
        <v>0.60416666666666663</v>
      </c>
      <c r="G61" s="21">
        <f>E18</f>
        <v>0</v>
      </c>
      <c r="H61" s="22"/>
      <c r="I61" s="125"/>
      <c r="J61" s="123"/>
      <c r="K61" s="123">
        <v>0.60416666666666663</v>
      </c>
      <c r="L61" s="21">
        <f>J18</f>
        <v>0</v>
      </c>
      <c r="M61" s="22"/>
      <c r="N61" s="125"/>
      <c r="O61" s="123"/>
      <c r="P61" s="123">
        <v>0.60416666666666663</v>
      </c>
      <c r="Q61" s="21">
        <f>O18</f>
        <v>33.358333333333334</v>
      </c>
      <c r="R61" s="22"/>
      <c r="S61" s="125"/>
      <c r="T61" s="123"/>
      <c r="U61" s="123">
        <v>0.60416666666666663</v>
      </c>
      <c r="V61" s="21">
        <f>T18</f>
        <v>0</v>
      </c>
      <c r="W61" s="22"/>
      <c r="X61" s="125"/>
      <c r="Y61" s="123"/>
      <c r="Z61" s="123">
        <v>0.60416666666666663</v>
      </c>
      <c r="AA61" s="207">
        <f>Y18</f>
        <v>9.2333333333333325</v>
      </c>
      <c r="AB61" s="22"/>
      <c r="AC61" s="125"/>
      <c r="AD61" s="123"/>
      <c r="AE61" s="123">
        <v>0.60416666666666663</v>
      </c>
      <c r="AF61" s="207">
        <f>AD18</f>
        <v>35.033333333333339</v>
      </c>
      <c r="AH61" s="125"/>
      <c r="AI61" s="123"/>
      <c r="AJ61" s="123">
        <v>0.60416666666666663</v>
      </c>
      <c r="AK61" s="21">
        <f>AI18</f>
        <v>0</v>
      </c>
      <c r="AM61" s="125"/>
      <c r="AN61" s="123"/>
      <c r="AO61" s="123">
        <v>0.60416666666666663</v>
      </c>
      <c r="AP61" s="21">
        <f>AN18</f>
        <v>0</v>
      </c>
    </row>
    <row r="62" spans="1:42" x14ac:dyDescent="0.3">
      <c r="A62" s="123">
        <v>0.59375</v>
      </c>
      <c r="B62" s="203">
        <f t="shared" si="1"/>
        <v>0</v>
      </c>
      <c r="D62" s="125"/>
      <c r="E62" s="123"/>
      <c r="F62" s="123">
        <v>0.61458333333333337</v>
      </c>
      <c r="G62" s="21">
        <f>E18</f>
        <v>0</v>
      </c>
      <c r="H62" s="22"/>
      <c r="I62" s="125"/>
      <c r="J62" s="123"/>
      <c r="K62" s="123">
        <v>0.61458333333333337</v>
      </c>
      <c r="L62" s="21">
        <f>J18</f>
        <v>0</v>
      </c>
      <c r="M62" s="22"/>
      <c r="N62" s="125"/>
      <c r="O62" s="123"/>
      <c r="P62" s="123">
        <v>0.61458333333333337</v>
      </c>
      <c r="Q62" s="21">
        <f>O18</f>
        <v>33.358333333333334</v>
      </c>
      <c r="R62" s="22"/>
      <c r="S62" s="125"/>
      <c r="T62" s="123"/>
      <c r="U62" s="123">
        <v>0.61458333333333337</v>
      </c>
      <c r="V62" s="21">
        <f>T18</f>
        <v>0</v>
      </c>
      <c r="W62" s="22"/>
      <c r="X62" s="125"/>
      <c r="Y62" s="123"/>
      <c r="Z62" s="123">
        <v>0.61458333333333337</v>
      </c>
      <c r="AA62" s="207">
        <f>Y18</f>
        <v>9.2333333333333325</v>
      </c>
      <c r="AB62" s="22"/>
      <c r="AC62" s="125"/>
      <c r="AD62" s="123"/>
      <c r="AE62" s="123">
        <v>0.61458333333333337</v>
      </c>
      <c r="AF62" s="207">
        <f>AD18</f>
        <v>35.033333333333339</v>
      </c>
      <c r="AH62" s="125"/>
      <c r="AI62" s="123"/>
      <c r="AJ62" s="123">
        <v>0.61458333333333337</v>
      </c>
      <c r="AK62" s="21">
        <f>AI18</f>
        <v>0</v>
      </c>
      <c r="AM62" s="125"/>
      <c r="AN62" s="123"/>
      <c r="AO62" s="123">
        <v>0.61458333333333337</v>
      </c>
      <c r="AP62" s="21">
        <f>AN18</f>
        <v>0</v>
      </c>
    </row>
    <row r="63" spans="1:42" x14ac:dyDescent="0.3">
      <c r="A63" s="123">
        <v>0.60416666666666663</v>
      </c>
      <c r="B63" s="203">
        <f t="shared" si="1"/>
        <v>0</v>
      </c>
      <c r="D63" s="125"/>
      <c r="E63" s="123"/>
      <c r="F63" s="123">
        <v>0.625</v>
      </c>
      <c r="G63" s="21">
        <f>E18</f>
        <v>0</v>
      </c>
      <c r="H63" s="22"/>
      <c r="I63" s="125"/>
      <c r="J63" s="123"/>
      <c r="K63" s="123">
        <v>0.625</v>
      </c>
      <c r="L63" s="21">
        <f>J18</f>
        <v>0</v>
      </c>
      <c r="M63" s="22"/>
      <c r="N63" s="125"/>
      <c r="O63" s="123"/>
      <c r="P63" s="123">
        <v>0.625</v>
      </c>
      <c r="Q63" s="21">
        <f>O18</f>
        <v>33.358333333333334</v>
      </c>
      <c r="R63" s="22"/>
      <c r="S63" s="125"/>
      <c r="T63" s="123"/>
      <c r="U63" s="123">
        <v>0.625</v>
      </c>
      <c r="V63" s="21">
        <f>T18</f>
        <v>0</v>
      </c>
      <c r="W63" s="22"/>
      <c r="X63" s="125"/>
      <c r="Y63" s="123"/>
      <c r="Z63" s="123">
        <v>0.625</v>
      </c>
      <c r="AA63" s="207">
        <f>Y18</f>
        <v>9.2333333333333325</v>
      </c>
      <c r="AB63" s="22"/>
      <c r="AC63" s="125"/>
      <c r="AD63" s="123"/>
      <c r="AE63" s="123">
        <v>0.625</v>
      </c>
      <c r="AF63" s="207">
        <f>AD18</f>
        <v>35.033333333333339</v>
      </c>
      <c r="AH63" s="125"/>
      <c r="AI63" s="123"/>
      <c r="AJ63" s="123">
        <v>0.625</v>
      </c>
      <c r="AK63" s="21">
        <f>AI18</f>
        <v>0</v>
      </c>
      <c r="AM63" s="125"/>
      <c r="AN63" s="123"/>
      <c r="AO63" s="123">
        <v>0.625</v>
      </c>
      <c r="AP63" s="21">
        <f>AN18</f>
        <v>0</v>
      </c>
    </row>
    <row r="64" spans="1:42" x14ac:dyDescent="0.3">
      <c r="A64" s="123">
        <v>0.61458333333333337</v>
      </c>
      <c r="B64" s="203">
        <f t="shared" si="1"/>
        <v>0</v>
      </c>
      <c r="D64" s="125"/>
      <c r="E64" s="123"/>
      <c r="F64" s="123">
        <v>0.63541666666666663</v>
      </c>
      <c r="G64" s="21">
        <f>E19</f>
        <v>0</v>
      </c>
      <c r="H64" s="22"/>
      <c r="I64" s="125"/>
      <c r="J64" s="123"/>
      <c r="K64" s="123">
        <v>0.63541666666666663</v>
      </c>
      <c r="L64" s="21">
        <f>J19</f>
        <v>0</v>
      </c>
      <c r="M64" s="22"/>
      <c r="N64" s="125"/>
      <c r="O64" s="123"/>
      <c r="P64" s="123">
        <v>0.63541666666666663</v>
      </c>
      <c r="Q64" s="21">
        <f>O19</f>
        <v>33.983333333333334</v>
      </c>
      <c r="R64" s="22"/>
      <c r="S64" s="125"/>
      <c r="T64" s="123"/>
      <c r="U64" s="123">
        <v>0.63541666666666663</v>
      </c>
      <c r="V64" s="21">
        <f>T19</f>
        <v>0</v>
      </c>
      <c r="W64" s="22"/>
      <c r="X64" s="125"/>
      <c r="Y64" s="123"/>
      <c r="Z64" s="123">
        <v>0.63541666666666663</v>
      </c>
      <c r="AA64" s="207">
        <f>Y19</f>
        <v>9.341666666666665</v>
      </c>
      <c r="AB64" s="22"/>
      <c r="AC64" s="125"/>
      <c r="AD64" s="123"/>
      <c r="AE64" s="123">
        <v>0.63541666666666663</v>
      </c>
      <c r="AF64" s="207">
        <f>AD19</f>
        <v>35.991666666666667</v>
      </c>
      <c r="AH64" s="125"/>
      <c r="AI64" s="123"/>
      <c r="AJ64" s="123">
        <v>0.63541666666666663</v>
      </c>
      <c r="AK64" s="21">
        <f>AI19</f>
        <v>0</v>
      </c>
      <c r="AM64" s="125"/>
      <c r="AN64" s="123"/>
      <c r="AO64" s="123">
        <v>0.63541666666666663</v>
      </c>
      <c r="AP64" s="21">
        <f>AN19</f>
        <v>0</v>
      </c>
    </row>
    <row r="65" spans="1:42" x14ac:dyDescent="0.3">
      <c r="A65" s="123">
        <v>0.625</v>
      </c>
      <c r="B65" s="203">
        <f t="shared" si="1"/>
        <v>0</v>
      </c>
      <c r="D65" s="125"/>
      <c r="E65" s="123"/>
      <c r="F65" s="123">
        <v>0.64583333333333337</v>
      </c>
      <c r="G65" s="21">
        <f>E19</f>
        <v>0</v>
      </c>
      <c r="H65" s="22"/>
      <c r="I65" s="125"/>
      <c r="J65" s="123"/>
      <c r="K65" s="123">
        <v>0.64583333333333337</v>
      </c>
      <c r="L65" s="21">
        <f>J19</f>
        <v>0</v>
      </c>
      <c r="M65" s="22"/>
      <c r="N65" s="125"/>
      <c r="O65" s="123"/>
      <c r="P65" s="123">
        <v>0.64583333333333337</v>
      </c>
      <c r="Q65" s="21">
        <f>O19</f>
        <v>33.983333333333334</v>
      </c>
      <c r="R65" s="22"/>
      <c r="S65" s="125"/>
      <c r="T65" s="123"/>
      <c r="U65" s="123">
        <v>0.64583333333333337</v>
      </c>
      <c r="V65" s="21">
        <f>T19</f>
        <v>0</v>
      </c>
      <c r="W65" s="22"/>
      <c r="X65" s="125"/>
      <c r="Y65" s="123"/>
      <c r="Z65" s="123">
        <v>0.64583333333333337</v>
      </c>
      <c r="AA65" s="207">
        <f>Y19</f>
        <v>9.341666666666665</v>
      </c>
      <c r="AB65" s="22"/>
      <c r="AC65" s="125"/>
      <c r="AD65" s="123"/>
      <c r="AE65" s="123">
        <v>0.64583333333333337</v>
      </c>
      <c r="AF65" s="207">
        <f>AD19</f>
        <v>35.991666666666667</v>
      </c>
      <c r="AH65" s="125"/>
      <c r="AI65" s="123"/>
      <c r="AJ65" s="123">
        <v>0.64583333333333337</v>
      </c>
      <c r="AK65" s="21">
        <f>AI19</f>
        <v>0</v>
      </c>
      <c r="AM65" s="125"/>
      <c r="AN65" s="123"/>
      <c r="AO65" s="123">
        <v>0.64583333333333337</v>
      </c>
      <c r="AP65" s="21">
        <f>AN19</f>
        <v>0</v>
      </c>
    </row>
    <row r="66" spans="1:42" x14ac:dyDescent="0.3">
      <c r="A66" s="123">
        <v>0.63541666666666663</v>
      </c>
      <c r="B66" s="203">
        <f t="shared" si="1"/>
        <v>0</v>
      </c>
      <c r="D66" s="125"/>
      <c r="E66" s="123"/>
      <c r="F66" s="123">
        <v>0.65625</v>
      </c>
      <c r="G66" s="21">
        <f>E19</f>
        <v>0</v>
      </c>
      <c r="H66" s="22"/>
      <c r="I66" s="125"/>
      <c r="J66" s="123"/>
      <c r="K66" s="123">
        <v>0.65625</v>
      </c>
      <c r="L66" s="21">
        <f>J19</f>
        <v>0</v>
      </c>
      <c r="M66" s="22"/>
      <c r="N66" s="125"/>
      <c r="O66" s="123"/>
      <c r="P66" s="123">
        <v>0.65625</v>
      </c>
      <c r="Q66" s="21">
        <f>O19</f>
        <v>33.983333333333334</v>
      </c>
      <c r="R66" s="22"/>
      <c r="S66" s="125"/>
      <c r="T66" s="123"/>
      <c r="U66" s="123">
        <v>0.65625</v>
      </c>
      <c r="V66" s="21">
        <f>T19</f>
        <v>0</v>
      </c>
      <c r="W66" s="22"/>
      <c r="X66" s="125"/>
      <c r="Y66" s="123"/>
      <c r="Z66" s="123">
        <v>0.65625</v>
      </c>
      <c r="AA66" s="207">
        <f>Y19</f>
        <v>9.341666666666665</v>
      </c>
      <c r="AB66" s="22"/>
      <c r="AC66" s="125"/>
      <c r="AD66" s="123"/>
      <c r="AE66" s="123">
        <v>0.65625</v>
      </c>
      <c r="AF66" s="207">
        <f>AD19</f>
        <v>35.991666666666667</v>
      </c>
      <c r="AH66" s="125"/>
      <c r="AI66" s="123"/>
      <c r="AJ66" s="123">
        <v>0.65625</v>
      </c>
      <c r="AK66" s="21">
        <f>AI19</f>
        <v>0</v>
      </c>
      <c r="AM66" s="125"/>
      <c r="AN66" s="123"/>
      <c r="AO66" s="123">
        <v>0.65625</v>
      </c>
      <c r="AP66" s="21">
        <f>AN19</f>
        <v>0</v>
      </c>
    </row>
    <row r="67" spans="1:42" x14ac:dyDescent="0.3">
      <c r="A67" s="123">
        <v>0.64583333333333337</v>
      </c>
      <c r="B67" s="203">
        <f t="shared" si="1"/>
        <v>0</v>
      </c>
      <c r="D67" s="125"/>
      <c r="E67" s="123"/>
      <c r="F67" s="123">
        <v>0.66666666666666663</v>
      </c>
      <c r="G67" s="21">
        <f>E19</f>
        <v>0</v>
      </c>
      <c r="H67" s="22"/>
      <c r="I67" s="125"/>
      <c r="J67" s="123"/>
      <c r="K67" s="123">
        <v>0.66666666666666663</v>
      </c>
      <c r="L67" s="21">
        <f>J19</f>
        <v>0</v>
      </c>
      <c r="M67" s="22"/>
      <c r="N67" s="125"/>
      <c r="O67" s="123"/>
      <c r="P67" s="123">
        <v>0.66666666666666663</v>
      </c>
      <c r="Q67" s="21">
        <f>O19</f>
        <v>33.983333333333334</v>
      </c>
      <c r="R67" s="22"/>
      <c r="S67" s="125"/>
      <c r="T67" s="123"/>
      <c r="U67" s="123">
        <v>0.66666666666666663</v>
      </c>
      <c r="V67" s="21">
        <f>T19</f>
        <v>0</v>
      </c>
      <c r="W67" s="22"/>
      <c r="X67" s="125"/>
      <c r="Y67" s="123"/>
      <c r="Z67" s="123">
        <v>0.66666666666666663</v>
      </c>
      <c r="AA67" s="207">
        <f>Y19</f>
        <v>9.341666666666665</v>
      </c>
      <c r="AB67" s="22"/>
      <c r="AC67" s="125"/>
      <c r="AD67" s="123"/>
      <c r="AE67" s="123">
        <v>0.66666666666666663</v>
      </c>
      <c r="AF67" s="207">
        <f>AD19</f>
        <v>35.991666666666667</v>
      </c>
      <c r="AH67" s="125"/>
      <c r="AI67" s="123"/>
      <c r="AJ67" s="123">
        <v>0.66666666666666663</v>
      </c>
      <c r="AK67" s="21">
        <f>AI19</f>
        <v>0</v>
      </c>
      <c r="AM67" s="125"/>
      <c r="AN67" s="123"/>
      <c r="AO67" s="123">
        <v>0.66666666666666663</v>
      </c>
      <c r="AP67" s="21">
        <f>AN19</f>
        <v>0</v>
      </c>
    </row>
    <row r="68" spans="1:42" x14ac:dyDescent="0.3">
      <c r="A68" s="123">
        <v>0.65625</v>
      </c>
      <c r="B68" s="203">
        <f t="shared" si="1"/>
        <v>0</v>
      </c>
      <c r="D68" s="125"/>
      <c r="E68" s="123"/>
      <c r="F68" s="123">
        <v>0.67708333333333337</v>
      </c>
      <c r="G68" s="21">
        <f>E20</f>
        <v>0</v>
      </c>
      <c r="H68" s="22"/>
      <c r="I68" s="125"/>
      <c r="J68" s="123"/>
      <c r="K68" s="123">
        <v>0.67708333333333337</v>
      </c>
      <c r="L68" s="21">
        <f>J20</f>
        <v>0</v>
      </c>
      <c r="M68" s="22"/>
      <c r="N68" s="125"/>
      <c r="O68" s="123"/>
      <c r="P68" s="123">
        <v>0.67708333333333337</v>
      </c>
      <c r="Q68" s="21">
        <f>O20</f>
        <v>34.400000000000006</v>
      </c>
      <c r="R68" s="22"/>
      <c r="S68" s="125"/>
      <c r="T68" s="123"/>
      <c r="U68" s="123">
        <v>0.67708333333333337</v>
      </c>
      <c r="V68" s="21">
        <f>T20</f>
        <v>0</v>
      </c>
      <c r="W68" s="22"/>
      <c r="X68" s="125"/>
      <c r="Y68" s="123"/>
      <c r="Z68" s="123">
        <v>0.67708333333333337</v>
      </c>
      <c r="AA68" s="207">
        <f>Y20</f>
        <v>8.5999999999999979</v>
      </c>
      <c r="AB68" s="22"/>
      <c r="AC68" s="125"/>
      <c r="AD68" s="123"/>
      <c r="AE68" s="123">
        <v>0.67708333333333337</v>
      </c>
      <c r="AF68" s="207">
        <f>AD20</f>
        <v>36.491666666666667</v>
      </c>
      <c r="AH68" s="125"/>
      <c r="AI68" s="123"/>
      <c r="AJ68" s="123">
        <v>0.67708333333333337</v>
      </c>
      <c r="AK68" s="21">
        <f>AI20</f>
        <v>0</v>
      </c>
      <c r="AM68" s="125"/>
      <c r="AN68" s="123"/>
      <c r="AO68" s="123">
        <v>0.67708333333333337</v>
      </c>
      <c r="AP68" s="21">
        <f>AN20</f>
        <v>0</v>
      </c>
    </row>
    <row r="69" spans="1:42" x14ac:dyDescent="0.3">
      <c r="A69" s="123">
        <v>0.66666666666666663</v>
      </c>
      <c r="B69" s="203">
        <f t="shared" si="1"/>
        <v>0</v>
      </c>
      <c r="D69" s="125"/>
      <c r="E69" s="123"/>
      <c r="F69" s="123">
        <v>0.6875</v>
      </c>
      <c r="G69" s="21">
        <f>E20</f>
        <v>0</v>
      </c>
      <c r="H69" s="22"/>
      <c r="I69" s="125"/>
      <c r="J69" s="123"/>
      <c r="K69" s="123">
        <v>0.6875</v>
      </c>
      <c r="L69" s="21">
        <f>J20</f>
        <v>0</v>
      </c>
      <c r="M69" s="22"/>
      <c r="N69" s="125"/>
      <c r="O69" s="123"/>
      <c r="P69" s="123">
        <v>0.6875</v>
      </c>
      <c r="Q69" s="21">
        <f>O20</f>
        <v>34.400000000000006</v>
      </c>
      <c r="R69" s="22"/>
      <c r="S69" s="125"/>
      <c r="T69" s="123"/>
      <c r="U69" s="123">
        <v>0.6875</v>
      </c>
      <c r="V69" s="21">
        <f>T20</f>
        <v>0</v>
      </c>
      <c r="W69" s="22"/>
      <c r="X69" s="125"/>
      <c r="Y69" s="123"/>
      <c r="Z69" s="123">
        <v>0.6875</v>
      </c>
      <c r="AA69" s="207">
        <f>Y20</f>
        <v>8.5999999999999979</v>
      </c>
      <c r="AB69" s="22"/>
      <c r="AC69" s="125"/>
      <c r="AD69" s="123"/>
      <c r="AE69" s="123">
        <v>0.6875</v>
      </c>
      <c r="AF69" s="207">
        <f>AD20</f>
        <v>36.491666666666667</v>
      </c>
      <c r="AH69" s="125"/>
      <c r="AI69" s="123"/>
      <c r="AJ69" s="123">
        <v>0.6875</v>
      </c>
      <c r="AK69" s="21">
        <f>AI20</f>
        <v>0</v>
      </c>
      <c r="AM69" s="125"/>
      <c r="AN69" s="123"/>
      <c r="AO69" s="123">
        <v>0.6875</v>
      </c>
      <c r="AP69" s="21">
        <f>AN20</f>
        <v>0</v>
      </c>
    </row>
    <row r="70" spans="1:42" x14ac:dyDescent="0.3">
      <c r="A70" s="123">
        <v>0.67708333333333337</v>
      </c>
      <c r="B70" s="203">
        <f t="shared" ref="B70:B101" si="2">IF($B$3=$D$2,G68,IF($B$3=$I$2,L68,IF($B$3=$N$2,Q68,IF($B$3=$S$2,V68,IF($B$3=$X$2,AA68,IF($B$3=$AC$2,AF68,IF($B$3=$AH$2,AK68,IF($B$3=$AM$2,AP68,0))))))))</f>
        <v>0</v>
      </c>
      <c r="D70" s="125"/>
      <c r="E70" s="123"/>
      <c r="F70" s="123">
        <v>0.69791666666666663</v>
      </c>
      <c r="G70" s="21">
        <f>E20</f>
        <v>0</v>
      </c>
      <c r="H70" s="22"/>
      <c r="I70" s="125"/>
      <c r="J70" s="123"/>
      <c r="K70" s="123">
        <v>0.69791666666666663</v>
      </c>
      <c r="L70" s="21">
        <f>J20</f>
        <v>0</v>
      </c>
      <c r="M70" s="22"/>
      <c r="N70" s="125"/>
      <c r="O70" s="123"/>
      <c r="P70" s="123">
        <v>0.69791666666666663</v>
      </c>
      <c r="Q70" s="21">
        <f>O20</f>
        <v>34.400000000000006</v>
      </c>
      <c r="R70" s="22"/>
      <c r="S70" s="125"/>
      <c r="T70" s="123"/>
      <c r="U70" s="123">
        <v>0.69791666666666663</v>
      </c>
      <c r="V70" s="21">
        <f>T20</f>
        <v>0</v>
      </c>
      <c r="W70" s="22"/>
      <c r="X70" s="125"/>
      <c r="Y70" s="123"/>
      <c r="Z70" s="123">
        <v>0.69791666666666663</v>
      </c>
      <c r="AA70" s="207">
        <f>Y20</f>
        <v>8.5999999999999979</v>
      </c>
      <c r="AB70" s="22"/>
      <c r="AC70" s="125"/>
      <c r="AD70" s="123"/>
      <c r="AE70" s="123">
        <v>0.69791666666666663</v>
      </c>
      <c r="AF70" s="207">
        <f>AD20</f>
        <v>36.491666666666667</v>
      </c>
      <c r="AH70" s="125"/>
      <c r="AI70" s="123"/>
      <c r="AJ70" s="123">
        <v>0.69791666666666663</v>
      </c>
      <c r="AK70" s="21">
        <f>AI20</f>
        <v>0</v>
      </c>
      <c r="AM70" s="125"/>
      <c r="AN70" s="123"/>
      <c r="AO70" s="123">
        <v>0.69791666666666663</v>
      </c>
      <c r="AP70" s="21">
        <f>AN20</f>
        <v>0</v>
      </c>
    </row>
    <row r="71" spans="1:42" x14ac:dyDescent="0.3">
      <c r="A71" s="123">
        <v>0.6875</v>
      </c>
      <c r="B71" s="203">
        <f t="shared" si="2"/>
        <v>0</v>
      </c>
      <c r="D71" s="125"/>
      <c r="E71" s="123"/>
      <c r="F71" s="123">
        <v>0.70833333333333337</v>
      </c>
      <c r="G71" s="21">
        <f>E20</f>
        <v>0</v>
      </c>
      <c r="H71" s="22"/>
      <c r="I71" s="125"/>
      <c r="J71" s="123"/>
      <c r="K71" s="123">
        <v>0.70833333333333337</v>
      </c>
      <c r="L71" s="21">
        <f>J20</f>
        <v>0</v>
      </c>
      <c r="M71" s="22"/>
      <c r="N71" s="125"/>
      <c r="O71" s="123"/>
      <c r="P71" s="123">
        <v>0.70833333333333337</v>
      </c>
      <c r="Q71" s="21">
        <f>O20</f>
        <v>34.400000000000006</v>
      </c>
      <c r="R71" s="22"/>
      <c r="S71" s="125"/>
      <c r="T71" s="123"/>
      <c r="U71" s="123">
        <v>0.70833333333333337</v>
      </c>
      <c r="V71" s="21">
        <f>T20</f>
        <v>0</v>
      </c>
      <c r="W71" s="22"/>
      <c r="X71" s="125"/>
      <c r="Y71" s="123"/>
      <c r="Z71" s="123">
        <v>0.70833333333333337</v>
      </c>
      <c r="AA71" s="207">
        <f>Y20</f>
        <v>8.5999999999999979</v>
      </c>
      <c r="AB71" s="22"/>
      <c r="AC71" s="125"/>
      <c r="AD71" s="123"/>
      <c r="AE71" s="123">
        <v>0.70833333333333337</v>
      </c>
      <c r="AF71" s="207">
        <f>AD20</f>
        <v>36.491666666666667</v>
      </c>
      <c r="AH71" s="125"/>
      <c r="AI71" s="123"/>
      <c r="AJ71" s="123">
        <v>0.70833333333333337</v>
      </c>
      <c r="AK71" s="21">
        <f>AI20</f>
        <v>0</v>
      </c>
      <c r="AM71" s="125"/>
      <c r="AN71" s="123"/>
      <c r="AO71" s="123">
        <v>0.70833333333333337</v>
      </c>
      <c r="AP71" s="21">
        <f>AN20</f>
        <v>0</v>
      </c>
    </row>
    <row r="72" spans="1:42" x14ac:dyDescent="0.3">
      <c r="A72" s="123">
        <v>0.69791666666666663</v>
      </c>
      <c r="B72" s="203">
        <f t="shared" si="2"/>
        <v>0</v>
      </c>
      <c r="D72" s="125"/>
      <c r="E72" s="123"/>
      <c r="F72" s="123">
        <v>0.71875</v>
      </c>
      <c r="G72" s="21">
        <f>E21</f>
        <v>0</v>
      </c>
      <c r="H72" s="22"/>
      <c r="I72" s="125"/>
      <c r="J72" s="123"/>
      <c r="K72" s="123">
        <v>0.71875</v>
      </c>
      <c r="L72" s="21">
        <f>J21</f>
        <v>0</v>
      </c>
      <c r="M72" s="22"/>
      <c r="N72" s="125"/>
      <c r="O72" s="123"/>
      <c r="P72" s="123">
        <v>0.71875</v>
      </c>
      <c r="Q72" s="21">
        <f>O21</f>
        <v>34.400000000000006</v>
      </c>
      <c r="R72" s="22"/>
      <c r="S72" s="125"/>
      <c r="T72" s="123"/>
      <c r="U72" s="123">
        <v>0.71875</v>
      </c>
      <c r="V72" s="21">
        <f>T21</f>
        <v>0</v>
      </c>
      <c r="W72" s="22"/>
      <c r="X72" s="125"/>
      <c r="Y72" s="123"/>
      <c r="Z72" s="123">
        <v>0.71875</v>
      </c>
      <c r="AA72" s="207">
        <f>Y21</f>
        <v>7.2833333333333332</v>
      </c>
      <c r="AB72" s="22"/>
      <c r="AC72" s="125"/>
      <c r="AD72" s="123"/>
      <c r="AE72" s="123">
        <v>0.71875</v>
      </c>
      <c r="AF72" s="207">
        <f>AD21</f>
        <v>36.641666666666666</v>
      </c>
      <c r="AH72" s="125"/>
      <c r="AI72" s="123"/>
      <c r="AJ72" s="123">
        <v>0.71875</v>
      </c>
      <c r="AK72" s="21">
        <f>AI21</f>
        <v>0</v>
      </c>
      <c r="AM72" s="125"/>
      <c r="AN72" s="123"/>
      <c r="AO72" s="123">
        <v>0.71875</v>
      </c>
      <c r="AP72" s="21">
        <f>AN21</f>
        <v>0</v>
      </c>
    </row>
    <row r="73" spans="1:42" x14ac:dyDescent="0.3">
      <c r="A73" s="123">
        <v>0.70833333333333337</v>
      </c>
      <c r="B73" s="203">
        <f t="shared" si="2"/>
        <v>0</v>
      </c>
      <c r="D73" s="125"/>
      <c r="E73" s="123"/>
      <c r="F73" s="123">
        <v>0.72916666666666663</v>
      </c>
      <c r="G73" s="21">
        <f>E21</f>
        <v>0</v>
      </c>
      <c r="H73" s="22"/>
      <c r="I73" s="125"/>
      <c r="J73" s="123"/>
      <c r="K73" s="123">
        <v>0.72916666666666663</v>
      </c>
      <c r="L73" s="21">
        <f>J21</f>
        <v>0</v>
      </c>
      <c r="M73" s="22"/>
      <c r="N73" s="125"/>
      <c r="O73" s="123"/>
      <c r="P73" s="123">
        <v>0.72916666666666663</v>
      </c>
      <c r="Q73" s="21">
        <f>O21</f>
        <v>34.400000000000006</v>
      </c>
      <c r="R73" s="22"/>
      <c r="S73" s="125"/>
      <c r="T73" s="123"/>
      <c r="U73" s="123">
        <v>0.72916666666666663</v>
      </c>
      <c r="V73" s="21">
        <f>T21</f>
        <v>0</v>
      </c>
      <c r="W73" s="22"/>
      <c r="X73" s="125"/>
      <c r="Y73" s="123"/>
      <c r="Z73" s="123">
        <v>0.72916666666666663</v>
      </c>
      <c r="AA73" s="207">
        <f>Y21</f>
        <v>7.2833333333333332</v>
      </c>
      <c r="AB73" s="22"/>
      <c r="AC73" s="125"/>
      <c r="AD73" s="123"/>
      <c r="AE73" s="123">
        <v>0.72916666666666663</v>
      </c>
      <c r="AF73" s="207">
        <f>AD21</f>
        <v>36.641666666666666</v>
      </c>
      <c r="AH73" s="125"/>
      <c r="AI73" s="123"/>
      <c r="AJ73" s="123">
        <v>0.72916666666666663</v>
      </c>
      <c r="AK73" s="21">
        <f>AI21</f>
        <v>0</v>
      </c>
      <c r="AM73" s="125"/>
      <c r="AN73" s="123"/>
      <c r="AO73" s="123">
        <v>0.72916666666666663</v>
      </c>
      <c r="AP73" s="21">
        <f>AN21</f>
        <v>0</v>
      </c>
    </row>
    <row r="74" spans="1:42" x14ac:dyDescent="0.3">
      <c r="A74" s="123">
        <v>0.71875</v>
      </c>
      <c r="B74" s="203">
        <f t="shared" si="2"/>
        <v>0</v>
      </c>
      <c r="D74" s="125"/>
      <c r="E74" s="123"/>
      <c r="F74" s="123">
        <v>0.73958333333333337</v>
      </c>
      <c r="G74" s="21">
        <f>E21</f>
        <v>0</v>
      </c>
      <c r="H74" s="22"/>
      <c r="I74" s="125"/>
      <c r="J74" s="123"/>
      <c r="K74" s="123">
        <v>0.73958333333333337</v>
      </c>
      <c r="L74" s="21">
        <f>J21</f>
        <v>0</v>
      </c>
      <c r="M74" s="22"/>
      <c r="N74" s="125"/>
      <c r="O74" s="123"/>
      <c r="P74" s="123">
        <v>0.73958333333333337</v>
      </c>
      <c r="Q74" s="21">
        <f>O21</f>
        <v>34.400000000000006</v>
      </c>
      <c r="R74" s="22"/>
      <c r="S74" s="125"/>
      <c r="T74" s="123"/>
      <c r="U74" s="123">
        <v>0.73958333333333337</v>
      </c>
      <c r="V74" s="21">
        <f>T21</f>
        <v>0</v>
      </c>
      <c r="W74" s="22"/>
      <c r="X74" s="125"/>
      <c r="Y74" s="123"/>
      <c r="Z74" s="123">
        <v>0.73958333333333337</v>
      </c>
      <c r="AA74" s="207">
        <f>Y21</f>
        <v>7.2833333333333332</v>
      </c>
      <c r="AB74" s="22"/>
      <c r="AC74" s="125"/>
      <c r="AD74" s="123"/>
      <c r="AE74" s="123">
        <v>0.73958333333333337</v>
      </c>
      <c r="AF74" s="207">
        <f>AD21</f>
        <v>36.641666666666666</v>
      </c>
      <c r="AH74" s="125"/>
      <c r="AI74" s="123"/>
      <c r="AJ74" s="123">
        <v>0.73958333333333337</v>
      </c>
      <c r="AK74" s="21">
        <f>AI21</f>
        <v>0</v>
      </c>
      <c r="AM74" s="125"/>
      <c r="AN74" s="123"/>
      <c r="AO74" s="123">
        <v>0.73958333333333337</v>
      </c>
      <c r="AP74" s="21">
        <f>AN21</f>
        <v>0</v>
      </c>
    </row>
    <row r="75" spans="1:42" x14ac:dyDescent="0.3">
      <c r="A75" s="123">
        <v>0.72916666666666663</v>
      </c>
      <c r="B75" s="203">
        <f t="shared" si="2"/>
        <v>0</v>
      </c>
      <c r="D75" s="125"/>
      <c r="E75" s="123"/>
      <c r="F75" s="123">
        <v>0.75</v>
      </c>
      <c r="G75" s="21">
        <f>E21</f>
        <v>0</v>
      </c>
      <c r="H75" s="22"/>
      <c r="I75" s="125"/>
      <c r="J75" s="123"/>
      <c r="K75" s="123">
        <v>0.75</v>
      </c>
      <c r="L75" s="21">
        <f>J21</f>
        <v>0</v>
      </c>
      <c r="M75" s="22"/>
      <c r="N75" s="125"/>
      <c r="O75" s="123"/>
      <c r="P75" s="123">
        <v>0.75</v>
      </c>
      <c r="Q75" s="21">
        <f>O21</f>
        <v>34.400000000000006</v>
      </c>
      <c r="R75" s="22"/>
      <c r="S75" s="125"/>
      <c r="T75" s="123"/>
      <c r="U75" s="123">
        <v>0.75</v>
      </c>
      <c r="V75" s="21">
        <f>T21</f>
        <v>0</v>
      </c>
      <c r="W75" s="22"/>
      <c r="X75" s="125"/>
      <c r="Y75" s="123"/>
      <c r="Z75" s="123">
        <v>0.75</v>
      </c>
      <c r="AA75" s="207">
        <f>Y21</f>
        <v>7.2833333333333332</v>
      </c>
      <c r="AB75" s="22"/>
      <c r="AC75" s="125"/>
      <c r="AD75" s="123"/>
      <c r="AE75" s="123">
        <v>0.75</v>
      </c>
      <c r="AF75" s="207">
        <f>AD21</f>
        <v>36.641666666666666</v>
      </c>
      <c r="AH75" s="125"/>
      <c r="AI75" s="123"/>
      <c r="AJ75" s="123">
        <v>0.75</v>
      </c>
      <c r="AK75" s="21">
        <f>AI21</f>
        <v>0</v>
      </c>
      <c r="AM75" s="125"/>
      <c r="AN75" s="123"/>
      <c r="AO75" s="123">
        <v>0.75</v>
      </c>
      <c r="AP75" s="21">
        <f>AN21</f>
        <v>0</v>
      </c>
    </row>
    <row r="76" spans="1:42" x14ac:dyDescent="0.3">
      <c r="A76" s="123">
        <v>0.73958333333333337</v>
      </c>
      <c r="B76" s="203">
        <f t="shared" si="2"/>
        <v>0</v>
      </c>
      <c r="D76" s="125"/>
      <c r="E76" s="123"/>
      <c r="F76" s="123">
        <v>0.76041666666666663</v>
      </c>
      <c r="G76" s="21">
        <f>E22</f>
        <v>0</v>
      </c>
      <c r="H76" s="22"/>
      <c r="I76" s="125"/>
      <c r="J76" s="123"/>
      <c r="K76" s="123">
        <v>0.76041666666666663</v>
      </c>
      <c r="L76" s="21">
        <f>J22</f>
        <v>0</v>
      </c>
      <c r="M76" s="22"/>
      <c r="N76" s="125"/>
      <c r="O76" s="123"/>
      <c r="P76" s="123">
        <v>0.76041666666666663</v>
      </c>
      <c r="Q76" s="21">
        <f>O22</f>
        <v>34.108333333333334</v>
      </c>
      <c r="R76" s="22"/>
      <c r="S76" s="125"/>
      <c r="T76" s="123"/>
      <c r="U76" s="123">
        <v>0.76041666666666663</v>
      </c>
      <c r="V76" s="21">
        <f>T22</f>
        <v>0</v>
      </c>
      <c r="W76" s="22"/>
      <c r="X76" s="125"/>
      <c r="Y76" s="123"/>
      <c r="Z76" s="123">
        <v>0.76041666666666663</v>
      </c>
      <c r="AA76" s="207">
        <f>Y22</f>
        <v>6.1750000000000016</v>
      </c>
      <c r="AB76" s="22"/>
      <c r="AC76" s="125"/>
      <c r="AD76" s="123"/>
      <c r="AE76" s="123">
        <v>0.76041666666666663</v>
      </c>
      <c r="AF76" s="207">
        <f>AD22</f>
        <v>36.308333333333337</v>
      </c>
      <c r="AH76" s="125"/>
      <c r="AI76" s="123"/>
      <c r="AJ76" s="123">
        <v>0.76041666666666663</v>
      </c>
      <c r="AK76" s="21">
        <f>AI22</f>
        <v>0</v>
      </c>
      <c r="AM76" s="125"/>
      <c r="AN76" s="123"/>
      <c r="AO76" s="123">
        <v>0.76041666666666663</v>
      </c>
      <c r="AP76" s="21">
        <f>AN22</f>
        <v>0</v>
      </c>
    </row>
    <row r="77" spans="1:42" x14ac:dyDescent="0.3">
      <c r="A77" s="123">
        <v>0.75</v>
      </c>
      <c r="B77" s="203">
        <f t="shared" si="2"/>
        <v>0</v>
      </c>
      <c r="D77" s="125"/>
      <c r="E77" s="123"/>
      <c r="F77" s="123">
        <v>0.77083333333333337</v>
      </c>
      <c r="G77" s="21">
        <f>E22</f>
        <v>0</v>
      </c>
      <c r="H77" s="22"/>
      <c r="I77" s="125"/>
      <c r="J77" s="123"/>
      <c r="K77" s="123">
        <v>0.77083333333333337</v>
      </c>
      <c r="L77" s="21">
        <f>J22</f>
        <v>0</v>
      </c>
      <c r="M77" s="22"/>
      <c r="N77" s="125"/>
      <c r="O77" s="123"/>
      <c r="P77" s="123">
        <v>0.77083333333333337</v>
      </c>
      <c r="Q77" s="21">
        <f>O22</f>
        <v>34.108333333333334</v>
      </c>
      <c r="R77" s="22"/>
      <c r="S77" s="125"/>
      <c r="T77" s="123"/>
      <c r="U77" s="123">
        <v>0.77083333333333337</v>
      </c>
      <c r="V77" s="21">
        <f>T22</f>
        <v>0</v>
      </c>
      <c r="W77" s="22"/>
      <c r="X77" s="125"/>
      <c r="Y77" s="123"/>
      <c r="Z77" s="123">
        <v>0.77083333333333337</v>
      </c>
      <c r="AA77" s="207">
        <f>Y22</f>
        <v>6.1750000000000016</v>
      </c>
      <c r="AB77" s="22"/>
      <c r="AC77" s="125"/>
      <c r="AD77" s="123"/>
      <c r="AE77" s="123">
        <v>0.77083333333333337</v>
      </c>
      <c r="AF77" s="207">
        <f>AD22</f>
        <v>36.308333333333337</v>
      </c>
      <c r="AH77" s="125"/>
      <c r="AI77" s="123"/>
      <c r="AJ77" s="123">
        <v>0.77083333333333337</v>
      </c>
      <c r="AK77" s="21">
        <f>AI22</f>
        <v>0</v>
      </c>
      <c r="AM77" s="125"/>
      <c r="AN77" s="123"/>
      <c r="AO77" s="123">
        <v>0.77083333333333337</v>
      </c>
      <c r="AP77" s="21">
        <f>AN22</f>
        <v>0</v>
      </c>
    </row>
    <row r="78" spans="1:42" x14ac:dyDescent="0.3">
      <c r="A78" s="123">
        <v>0.76041666666666663</v>
      </c>
      <c r="B78" s="203">
        <f t="shared" si="2"/>
        <v>0</v>
      </c>
      <c r="D78" s="125"/>
      <c r="E78" s="123"/>
      <c r="F78" s="123">
        <v>0.78125</v>
      </c>
      <c r="G78" s="21">
        <f>E22</f>
        <v>0</v>
      </c>
      <c r="H78" s="22"/>
      <c r="I78" s="125"/>
      <c r="J78" s="123"/>
      <c r="K78" s="123">
        <v>0.78125</v>
      </c>
      <c r="L78" s="21">
        <f>J22</f>
        <v>0</v>
      </c>
      <c r="M78" s="22"/>
      <c r="N78" s="125"/>
      <c r="O78" s="123"/>
      <c r="P78" s="123">
        <v>0.78125</v>
      </c>
      <c r="Q78" s="21">
        <f>O22</f>
        <v>34.108333333333334</v>
      </c>
      <c r="R78" s="22"/>
      <c r="S78" s="125"/>
      <c r="T78" s="123"/>
      <c r="U78" s="123">
        <v>0.78125</v>
      </c>
      <c r="V78" s="21">
        <f>T22</f>
        <v>0</v>
      </c>
      <c r="W78" s="22"/>
      <c r="X78" s="125"/>
      <c r="Y78" s="123"/>
      <c r="Z78" s="123">
        <v>0.78125</v>
      </c>
      <c r="AA78" s="207">
        <f>Y22</f>
        <v>6.1750000000000016</v>
      </c>
      <c r="AB78" s="22"/>
      <c r="AC78" s="125"/>
      <c r="AD78" s="123"/>
      <c r="AE78" s="123">
        <v>0.78125</v>
      </c>
      <c r="AF78" s="207">
        <f>AD22</f>
        <v>36.308333333333337</v>
      </c>
      <c r="AH78" s="125"/>
      <c r="AI78" s="123"/>
      <c r="AJ78" s="123">
        <v>0.78125</v>
      </c>
      <c r="AK78" s="21">
        <f>AI22</f>
        <v>0</v>
      </c>
      <c r="AM78" s="125"/>
      <c r="AN78" s="123"/>
      <c r="AO78" s="123">
        <v>0.78125</v>
      </c>
      <c r="AP78" s="21">
        <f>AN22</f>
        <v>0</v>
      </c>
    </row>
    <row r="79" spans="1:42" x14ac:dyDescent="0.3">
      <c r="A79" s="123">
        <v>0.77083333333333337</v>
      </c>
      <c r="B79" s="203">
        <f t="shared" si="2"/>
        <v>0</v>
      </c>
      <c r="D79" s="125"/>
      <c r="E79" s="123"/>
      <c r="F79" s="123">
        <v>0.79166666666666663</v>
      </c>
      <c r="G79" s="21">
        <f>E22</f>
        <v>0</v>
      </c>
      <c r="H79" s="22"/>
      <c r="I79" s="125"/>
      <c r="J79" s="123"/>
      <c r="K79" s="123">
        <v>0.79166666666666663</v>
      </c>
      <c r="L79" s="21">
        <f>J22</f>
        <v>0</v>
      </c>
      <c r="M79" s="22"/>
      <c r="N79" s="125"/>
      <c r="O79" s="123"/>
      <c r="P79" s="123">
        <v>0.79166666666666663</v>
      </c>
      <c r="Q79" s="21">
        <f>O22</f>
        <v>34.108333333333334</v>
      </c>
      <c r="R79" s="22"/>
      <c r="S79" s="125"/>
      <c r="T79" s="123"/>
      <c r="U79" s="123">
        <v>0.79166666666666663</v>
      </c>
      <c r="V79" s="21">
        <f>T22</f>
        <v>0</v>
      </c>
      <c r="W79" s="22"/>
      <c r="X79" s="125"/>
      <c r="Y79" s="123"/>
      <c r="Z79" s="123">
        <v>0.79166666666666663</v>
      </c>
      <c r="AA79" s="207">
        <f>Y22</f>
        <v>6.1750000000000016</v>
      </c>
      <c r="AB79" s="22"/>
      <c r="AC79" s="125"/>
      <c r="AD79" s="123"/>
      <c r="AE79" s="123">
        <v>0.79166666666666663</v>
      </c>
      <c r="AF79" s="207">
        <f>AD22</f>
        <v>36.308333333333337</v>
      </c>
      <c r="AH79" s="125"/>
      <c r="AI79" s="123"/>
      <c r="AJ79" s="123">
        <v>0.79166666666666663</v>
      </c>
      <c r="AK79" s="21">
        <f>AI22</f>
        <v>0</v>
      </c>
      <c r="AM79" s="125"/>
      <c r="AN79" s="123"/>
      <c r="AO79" s="123">
        <v>0.79166666666666663</v>
      </c>
      <c r="AP79" s="21">
        <f>AN22</f>
        <v>0</v>
      </c>
    </row>
    <row r="80" spans="1:42" x14ac:dyDescent="0.3">
      <c r="A80" s="123">
        <v>0.78125</v>
      </c>
      <c r="B80" s="203">
        <f t="shared" si="2"/>
        <v>0</v>
      </c>
      <c r="D80" s="125"/>
      <c r="E80" s="123"/>
      <c r="F80" s="123">
        <v>0.80208333333333337</v>
      </c>
      <c r="G80" s="21">
        <f>E23</f>
        <v>0</v>
      </c>
      <c r="H80" s="22"/>
      <c r="I80" s="125"/>
      <c r="J80" s="123"/>
      <c r="K80" s="123">
        <v>0.80208333333333337</v>
      </c>
      <c r="L80" s="21">
        <f>J23</f>
        <v>0</v>
      </c>
      <c r="M80" s="22"/>
      <c r="N80" s="125"/>
      <c r="O80" s="123"/>
      <c r="P80" s="123">
        <v>0.80208333333333337</v>
      </c>
      <c r="Q80" s="21">
        <f>O23</f>
        <v>33.550000000000004</v>
      </c>
      <c r="R80" s="22"/>
      <c r="S80" s="125"/>
      <c r="T80" s="123"/>
      <c r="U80" s="123">
        <v>0.80208333333333337</v>
      </c>
      <c r="V80" s="21">
        <f>T23</f>
        <v>0</v>
      </c>
      <c r="W80" s="22"/>
      <c r="X80" s="125"/>
      <c r="Y80" s="123"/>
      <c r="Z80" s="123">
        <v>0.80208333333333337</v>
      </c>
      <c r="AA80" s="207">
        <f>Y23</f>
        <v>5.3333333333333339</v>
      </c>
      <c r="AB80" s="22"/>
      <c r="AC80" s="125"/>
      <c r="AD80" s="123"/>
      <c r="AE80" s="123">
        <v>0.80208333333333337</v>
      </c>
      <c r="AF80" s="207">
        <f>AD23</f>
        <v>35.4</v>
      </c>
      <c r="AH80" s="125"/>
      <c r="AI80" s="123"/>
      <c r="AJ80" s="123">
        <v>0.80208333333333337</v>
      </c>
      <c r="AK80" s="21">
        <f>AI23</f>
        <v>0</v>
      </c>
      <c r="AM80" s="125"/>
      <c r="AN80" s="123"/>
      <c r="AO80" s="123">
        <v>0.80208333333333337</v>
      </c>
      <c r="AP80" s="21">
        <f>AN23</f>
        <v>0</v>
      </c>
    </row>
    <row r="81" spans="1:42" x14ac:dyDescent="0.3">
      <c r="A81" s="123">
        <v>0.79166666666666663</v>
      </c>
      <c r="B81" s="203">
        <f t="shared" si="2"/>
        <v>0</v>
      </c>
      <c r="D81" s="125"/>
      <c r="E81" s="123"/>
      <c r="F81" s="123">
        <v>0.8125</v>
      </c>
      <c r="G81" s="21">
        <f>E23</f>
        <v>0</v>
      </c>
      <c r="H81" s="22"/>
      <c r="I81" s="125"/>
      <c r="J81" s="123"/>
      <c r="K81" s="123">
        <v>0.8125</v>
      </c>
      <c r="L81" s="21">
        <f>J23</f>
        <v>0</v>
      </c>
      <c r="M81" s="22"/>
      <c r="N81" s="125"/>
      <c r="O81" s="123"/>
      <c r="P81" s="123">
        <v>0.8125</v>
      </c>
      <c r="Q81" s="21">
        <f>O23</f>
        <v>33.550000000000004</v>
      </c>
      <c r="R81" s="22"/>
      <c r="S81" s="125"/>
      <c r="T81" s="123"/>
      <c r="U81" s="123">
        <v>0.8125</v>
      </c>
      <c r="V81" s="21">
        <f>T23</f>
        <v>0</v>
      </c>
      <c r="W81" s="22"/>
      <c r="X81" s="125"/>
      <c r="Y81" s="123"/>
      <c r="Z81" s="123">
        <v>0.8125</v>
      </c>
      <c r="AA81" s="207">
        <f>Y23</f>
        <v>5.3333333333333339</v>
      </c>
      <c r="AB81" s="22"/>
      <c r="AC81" s="125"/>
      <c r="AD81" s="123"/>
      <c r="AE81" s="123">
        <v>0.8125</v>
      </c>
      <c r="AF81" s="207">
        <f>AD23</f>
        <v>35.4</v>
      </c>
      <c r="AH81" s="125"/>
      <c r="AI81" s="123"/>
      <c r="AJ81" s="123">
        <v>0.8125</v>
      </c>
      <c r="AK81" s="21">
        <f>AI23</f>
        <v>0</v>
      </c>
      <c r="AM81" s="125"/>
      <c r="AN81" s="123"/>
      <c r="AO81" s="123">
        <v>0.8125</v>
      </c>
      <c r="AP81" s="21">
        <f>AN23</f>
        <v>0</v>
      </c>
    </row>
    <row r="82" spans="1:42" x14ac:dyDescent="0.3">
      <c r="A82" s="123">
        <v>0.80208333333333337</v>
      </c>
      <c r="B82" s="203">
        <f t="shared" si="2"/>
        <v>0</v>
      </c>
      <c r="D82" s="125"/>
      <c r="E82" s="123"/>
      <c r="F82" s="123">
        <v>0.82291666666666663</v>
      </c>
      <c r="G82" s="21">
        <f>E23</f>
        <v>0</v>
      </c>
      <c r="H82" s="22"/>
      <c r="I82" s="125"/>
      <c r="J82" s="123"/>
      <c r="K82" s="123">
        <v>0.82291666666666663</v>
      </c>
      <c r="L82" s="21">
        <f>J23</f>
        <v>0</v>
      </c>
      <c r="M82" s="22"/>
      <c r="N82" s="125"/>
      <c r="O82" s="123"/>
      <c r="P82" s="123">
        <v>0.82291666666666663</v>
      </c>
      <c r="Q82" s="21">
        <f>O23</f>
        <v>33.550000000000004</v>
      </c>
      <c r="R82" s="22"/>
      <c r="S82" s="125"/>
      <c r="T82" s="123"/>
      <c r="U82" s="123">
        <v>0.82291666666666663</v>
      </c>
      <c r="V82" s="21">
        <f>T23</f>
        <v>0</v>
      </c>
      <c r="W82" s="22"/>
      <c r="X82" s="125"/>
      <c r="Y82" s="123"/>
      <c r="Z82" s="123">
        <v>0.82291666666666663</v>
      </c>
      <c r="AA82" s="207">
        <f>Y23</f>
        <v>5.3333333333333339</v>
      </c>
      <c r="AB82" s="22"/>
      <c r="AC82" s="125"/>
      <c r="AD82" s="123"/>
      <c r="AE82" s="123">
        <v>0.82291666666666663</v>
      </c>
      <c r="AF82" s="207">
        <f>AD23</f>
        <v>35.4</v>
      </c>
      <c r="AH82" s="125"/>
      <c r="AI82" s="123"/>
      <c r="AJ82" s="123">
        <v>0.82291666666666663</v>
      </c>
      <c r="AK82" s="21">
        <f>AI23</f>
        <v>0</v>
      </c>
      <c r="AM82" s="125"/>
      <c r="AN82" s="123"/>
      <c r="AO82" s="123">
        <v>0.82291666666666663</v>
      </c>
      <c r="AP82" s="21">
        <f>AN23</f>
        <v>0</v>
      </c>
    </row>
    <row r="83" spans="1:42" x14ac:dyDescent="0.3">
      <c r="A83" s="123">
        <v>0.8125</v>
      </c>
      <c r="B83" s="203">
        <f t="shared" si="2"/>
        <v>0</v>
      </c>
      <c r="D83" s="125"/>
      <c r="E83" s="123"/>
      <c r="F83" s="123">
        <v>0.83333333333333337</v>
      </c>
      <c r="G83" s="21">
        <f>E23</f>
        <v>0</v>
      </c>
      <c r="H83" s="22"/>
      <c r="I83" s="125"/>
      <c r="J83" s="123"/>
      <c r="K83" s="123">
        <v>0.83333333333333337</v>
      </c>
      <c r="L83" s="21">
        <f>J23</f>
        <v>0</v>
      </c>
      <c r="M83" s="22"/>
      <c r="N83" s="125"/>
      <c r="O83" s="123"/>
      <c r="P83" s="123">
        <v>0.83333333333333337</v>
      </c>
      <c r="Q83" s="21">
        <f>O23</f>
        <v>33.550000000000004</v>
      </c>
      <c r="R83" s="22"/>
      <c r="S83" s="125"/>
      <c r="T83" s="123"/>
      <c r="U83" s="123">
        <v>0.83333333333333337</v>
      </c>
      <c r="V83" s="21">
        <f>T23</f>
        <v>0</v>
      </c>
      <c r="W83" s="22"/>
      <c r="X83" s="125"/>
      <c r="Y83" s="123"/>
      <c r="Z83" s="123">
        <v>0.83333333333333337</v>
      </c>
      <c r="AA83" s="207">
        <f>Y23</f>
        <v>5.3333333333333339</v>
      </c>
      <c r="AB83" s="22"/>
      <c r="AC83" s="125"/>
      <c r="AD83" s="123"/>
      <c r="AE83" s="123">
        <v>0.83333333333333337</v>
      </c>
      <c r="AF83" s="207">
        <f>AD23</f>
        <v>35.4</v>
      </c>
      <c r="AH83" s="125"/>
      <c r="AI83" s="123"/>
      <c r="AJ83" s="123">
        <v>0.83333333333333337</v>
      </c>
      <c r="AK83" s="21">
        <f>AI23</f>
        <v>0</v>
      </c>
      <c r="AM83" s="125"/>
      <c r="AN83" s="123"/>
      <c r="AO83" s="123">
        <v>0.83333333333333337</v>
      </c>
      <c r="AP83" s="21">
        <f>AN23</f>
        <v>0</v>
      </c>
    </row>
    <row r="84" spans="1:42" x14ac:dyDescent="0.3">
      <c r="A84" s="123">
        <v>0.82291666666666663</v>
      </c>
      <c r="B84" s="203">
        <f t="shared" si="2"/>
        <v>0</v>
      </c>
      <c r="D84" s="125"/>
      <c r="E84" s="123"/>
      <c r="F84" s="123">
        <v>0.84375</v>
      </c>
      <c r="G84" s="21">
        <f>E24</f>
        <v>0</v>
      </c>
      <c r="H84" s="22"/>
      <c r="I84" s="125"/>
      <c r="J84" s="123"/>
      <c r="K84" s="123">
        <v>0.84375</v>
      </c>
      <c r="L84" s="21">
        <f>J24</f>
        <v>0</v>
      </c>
      <c r="M84" s="22"/>
      <c r="N84" s="125"/>
      <c r="O84" s="123"/>
      <c r="P84" s="123">
        <v>0.84375</v>
      </c>
      <c r="Q84" s="21">
        <f>O24</f>
        <v>32.833333333333329</v>
      </c>
      <c r="R84" s="22"/>
      <c r="S84" s="125"/>
      <c r="T84" s="123"/>
      <c r="U84" s="123">
        <v>0.84375</v>
      </c>
      <c r="V84" s="21">
        <f>T24</f>
        <v>0</v>
      </c>
      <c r="W84" s="22"/>
      <c r="X84" s="125"/>
      <c r="Y84" s="123"/>
      <c r="Z84" s="123">
        <v>0.84375</v>
      </c>
      <c r="AA84" s="207">
        <f>Y24</f>
        <v>4.9416666666666682</v>
      </c>
      <c r="AB84" s="22"/>
      <c r="AC84" s="125"/>
      <c r="AD84" s="123"/>
      <c r="AE84" s="123">
        <v>0.84375</v>
      </c>
      <c r="AF84" s="207">
        <f>AD24</f>
        <v>34.200000000000003</v>
      </c>
      <c r="AH84" s="125"/>
      <c r="AI84" s="123"/>
      <c r="AJ84" s="123">
        <v>0.84375</v>
      </c>
      <c r="AK84" s="21">
        <f>AI24</f>
        <v>0</v>
      </c>
      <c r="AM84" s="125"/>
      <c r="AN84" s="123"/>
      <c r="AO84" s="123">
        <v>0.84375</v>
      </c>
      <c r="AP84" s="21">
        <f>AN24</f>
        <v>0</v>
      </c>
    </row>
    <row r="85" spans="1:42" x14ac:dyDescent="0.3">
      <c r="A85" s="123">
        <v>0.83333333333333337</v>
      </c>
      <c r="B85" s="203">
        <f t="shared" si="2"/>
        <v>0</v>
      </c>
      <c r="D85" s="125"/>
      <c r="E85" s="123"/>
      <c r="F85" s="123">
        <v>0.85416666666666663</v>
      </c>
      <c r="G85" s="21">
        <f>E24</f>
        <v>0</v>
      </c>
      <c r="H85" s="22"/>
      <c r="I85" s="125"/>
      <c r="J85" s="123"/>
      <c r="K85" s="123">
        <v>0.85416666666666663</v>
      </c>
      <c r="L85" s="21">
        <f>J24</f>
        <v>0</v>
      </c>
      <c r="M85" s="22"/>
      <c r="N85" s="125"/>
      <c r="O85" s="123"/>
      <c r="P85" s="123">
        <v>0.85416666666666663</v>
      </c>
      <c r="Q85" s="21">
        <f>O24</f>
        <v>32.833333333333329</v>
      </c>
      <c r="R85" s="22"/>
      <c r="S85" s="125"/>
      <c r="T85" s="123"/>
      <c r="U85" s="123">
        <v>0.85416666666666663</v>
      </c>
      <c r="V85" s="21">
        <f>T24</f>
        <v>0</v>
      </c>
      <c r="W85" s="22"/>
      <c r="X85" s="125"/>
      <c r="Y85" s="123"/>
      <c r="Z85" s="123">
        <v>0.85416666666666663</v>
      </c>
      <c r="AA85" s="207">
        <f>Y24</f>
        <v>4.9416666666666682</v>
      </c>
      <c r="AB85" s="22"/>
      <c r="AC85" s="125"/>
      <c r="AD85" s="123"/>
      <c r="AE85" s="123">
        <v>0.85416666666666663</v>
      </c>
      <c r="AF85" s="207">
        <f>AD24</f>
        <v>34.200000000000003</v>
      </c>
      <c r="AH85" s="125"/>
      <c r="AI85" s="123"/>
      <c r="AJ85" s="123">
        <v>0.85416666666666663</v>
      </c>
      <c r="AK85" s="21">
        <f>AI24</f>
        <v>0</v>
      </c>
      <c r="AM85" s="125"/>
      <c r="AN85" s="123"/>
      <c r="AO85" s="123">
        <v>0.85416666666666663</v>
      </c>
      <c r="AP85" s="21">
        <f>AN24</f>
        <v>0</v>
      </c>
    </row>
    <row r="86" spans="1:42" x14ac:dyDescent="0.3">
      <c r="A86" s="123">
        <v>0.84375</v>
      </c>
      <c r="B86" s="203">
        <f t="shared" si="2"/>
        <v>0</v>
      </c>
      <c r="D86" s="125"/>
      <c r="E86" s="123"/>
      <c r="F86" s="123">
        <v>0.86458333333333337</v>
      </c>
      <c r="G86" s="21">
        <f>E24</f>
        <v>0</v>
      </c>
      <c r="H86" s="22"/>
      <c r="I86" s="125"/>
      <c r="J86" s="123"/>
      <c r="K86" s="123">
        <v>0.86458333333333337</v>
      </c>
      <c r="L86" s="21">
        <f>J24</f>
        <v>0</v>
      </c>
      <c r="M86" s="22"/>
      <c r="N86" s="125"/>
      <c r="O86" s="123"/>
      <c r="P86" s="123">
        <v>0.86458333333333337</v>
      </c>
      <c r="Q86" s="21">
        <f>O24</f>
        <v>32.833333333333329</v>
      </c>
      <c r="R86" s="22"/>
      <c r="S86" s="125"/>
      <c r="T86" s="123"/>
      <c r="U86" s="123">
        <v>0.86458333333333337</v>
      </c>
      <c r="V86" s="21">
        <f>T24</f>
        <v>0</v>
      </c>
      <c r="W86" s="22"/>
      <c r="X86" s="125"/>
      <c r="Y86" s="123"/>
      <c r="Z86" s="123">
        <v>0.86458333333333337</v>
      </c>
      <c r="AA86" s="207">
        <f>Y24</f>
        <v>4.9416666666666682</v>
      </c>
      <c r="AB86" s="22"/>
      <c r="AC86" s="125"/>
      <c r="AD86" s="123"/>
      <c r="AE86" s="123">
        <v>0.86458333333333337</v>
      </c>
      <c r="AF86" s="207">
        <f>AD24</f>
        <v>34.200000000000003</v>
      </c>
      <c r="AH86" s="125"/>
      <c r="AI86" s="123"/>
      <c r="AJ86" s="123">
        <v>0.86458333333333337</v>
      </c>
      <c r="AK86" s="21">
        <f>AI24</f>
        <v>0</v>
      </c>
      <c r="AM86" s="125"/>
      <c r="AN86" s="123"/>
      <c r="AO86" s="123">
        <v>0.86458333333333337</v>
      </c>
      <c r="AP86" s="21">
        <f>AN24</f>
        <v>0</v>
      </c>
    </row>
    <row r="87" spans="1:42" x14ac:dyDescent="0.3">
      <c r="A87" s="123">
        <v>0.85416666666666663</v>
      </c>
      <c r="B87" s="203">
        <f t="shared" si="2"/>
        <v>0</v>
      </c>
      <c r="D87" s="125"/>
      <c r="E87" s="123"/>
      <c r="F87" s="123">
        <v>0.875</v>
      </c>
      <c r="G87" s="21">
        <f>E24</f>
        <v>0</v>
      </c>
      <c r="H87" s="22"/>
      <c r="I87" s="125"/>
      <c r="J87" s="123"/>
      <c r="K87" s="123">
        <v>0.875</v>
      </c>
      <c r="L87" s="21">
        <f>J24</f>
        <v>0</v>
      </c>
      <c r="M87" s="22"/>
      <c r="N87" s="125"/>
      <c r="O87" s="123"/>
      <c r="P87" s="123">
        <v>0.875</v>
      </c>
      <c r="Q87" s="21">
        <f>O24</f>
        <v>32.833333333333329</v>
      </c>
      <c r="R87" s="22"/>
      <c r="S87" s="125"/>
      <c r="T87" s="123"/>
      <c r="U87" s="123">
        <v>0.875</v>
      </c>
      <c r="V87" s="21">
        <f>T24</f>
        <v>0</v>
      </c>
      <c r="W87" s="22"/>
      <c r="X87" s="125"/>
      <c r="Y87" s="123"/>
      <c r="Z87" s="123">
        <v>0.875</v>
      </c>
      <c r="AA87" s="207">
        <f>Y24</f>
        <v>4.9416666666666682</v>
      </c>
      <c r="AB87" s="22"/>
      <c r="AC87" s="125"/>
      <c r="AD87" s="123"/>
      <c r="AE87" s="123">
        <v>0.875</v>
      </c>
      <c r="AF87" s="207">
        <f>AD24</f>
        <v>34.200000000000003</v>
      </c>
      <c r="AH87" s="125"/>
      <c r="AI87" s="123"/>
      <c r="AJ87" s="123">
        <v>0.875</v>
      </c>
      <c r="AK87" s="21">
        <f>AI24</f>
        <v>0</v>
      </c>
      <c r="AM87" s="125"/>
      <c r="AN87" s="123"/>
      <c r="AO87" s="123">
        <v>0.875</v>
      </c>
      <c r="AP87" s="21">
        <f>AN24</f>
        <v>0</v>
      </c>
    </row>
    <row r="88" spans="1:42" x14ac:dyDescent="0.3">
      <c r="A88" s="123">
        <v>0.86458333333333337</v>
      </c>
      <c r="B88" s="203">
        <f t="shared" si="2"/>
        <v>0</v>
      </c>
      <c r="D88" s="125"/>
      <c r="E88" s="123"/>
      <c r="F88" s="123">
        <v>0.88541666666666663</v>
      </c>
      <c r="G88" s="21">
        <f>E25</f>
        <v>0</v>
      </c>
      <c r="H88" s="22"/>
      <c r="I88" s="125"/>
      <c r="J88" s="123"/>
      <c r="K88" s="123">
        <v>0.88541666666666663</v>
      </c>
      <c r="L88" s="21">
        <f>J25</f>
        <v>0</v>
      </c>
      <c r="M88" s="22"/>
      <c r="N88" s="125"/>
      <c r="O88" s="123"/>
      <c r="P88" s="123">
        <v>0.88541666666666663</v>
      </c>
      <c r="Q88" s="21">
        <f>O25</f>
        <v>31.216666666666669</v>
      </c>
      <c r="R88" s="22"/>
      <c r="S88" s="125"/>
      <c r="T88" s="123"/>
      <c r="U88" s="123">
        <v>0.88541666666666663</v>
      </c>
      <c r="V88" s="21">
        <f>T25</f>
        <v>0</v>
      </c>
      <c r="W88" s="22"/>
      <c r="X88" s="125"/>
      <c r="Y88" s="123"/>
      <c r="Z88" s="123">
        <v>0.88541666666666663</v>
      </c>
      <c r="AA88" s="207">
        <f>Y25</f>
        <v>4.3166666666666682</v>
      </c>
      <c r="AB88" s="22"/>
      <c r="AC88" s="125"/>
      <c r="AD88" s="123"/>
      <c r="AE88" s="123">
        <v>0.88541666666666663</v>
      </c>
      <c r="AF88" s="207">
        <f>AD25</f>
        <v>32.766666666666673</v>
      </c>
      <c r="AH88" s="125"/>
      <c r="AI88" s="123"/>
      <c r="AJ88" s="123">
        <v>0.88541666666666663</v>
      </c>
      <c r="AK88" s="21">
        <f>AI25</f>
        <v>0</v>
      </c>
      <c r="AM88" s="125"/>
      <c r="AN88" s="123"/>
      <c r="AO88" s="123">
        <v>0.88541666666666663</v>
      </c>
      <c r="AP88" s="21">
        <f>AN25</f>
        <v>0</v>
      </c>
    </row>
    <row r="89" spans="1:42" x14ac:dyDescent="0.3">
      <c r="A89" s="123">
        <v>0.875</v>
      </c>
      <c r="B89" s="203">
        <f t="shared" si="2"/>
        <v>0</v>
      </c>
      <c r="D89" s="125"/>
      <c r="E89" s="123"/>
      <c r="F89" s="123">
        <v>0.89583333333333337</v>
      </c>
      <c r="G89" s="21">
        <f>E25</f>
        <v>0</v>
      </c>
      <c r="H89" s="22"/>
      <c r="I89" s="125"/>
      <c r="J89" s="123"/>
      <c r="K89" s="123">
        <v>0.89583333333333337</v>
      </c>
      <c r="L89" s="21">
        <f>J25</f>
        <v>0</v>
      </c>
      <c r="M89" s="22"/>
      <c r="N89" s="125"/>
      <c r="O89" s="123"/>
      <c r="P89" s="123">
        <v>0.89583333333333337</v>
      </c>
      <c r="Q89" s="21">
        <f>O25</f>
        <v>31.216666666666669</v>
      </c>
      <c r="R89" s="22"/>
      <c r="S89" s="125"/>
      <c r="T89" s="123"/>
      <c r="U89" s="123">
        <v>0.89583333333333337</v>
      </c>
      <c r="V89" s="21">
        <f>T25</f>
        <v>0</v>
      </c>
      <c r="W89" s="22"/>
      <c r="X89" s="125"/>
      <c r="Y89" s="123"/>
      <c r="Z89" s="123">
        <v>0.89583333333333337</v>
      </c>
      <c r="AA89" s="207">
        <f>Y25</f>
        <v>4.3166666666666682</v>
      </c>
      <c r="AB89" s="22"/>
      <c r="AC89" s="125"/>
      <c r="AD89" s="123"/>
      <c r="AE89" s="123">
        <v>0.89583333333333337</v>
      </c>
      <c r="AF89" s="207">
        <f>AD25</f>
        <v>32.766666666666673</v>
      </c>
      <c r="AH89" s="125"/>
      <c r="AI89" s="123"/>
      <c r="AJ89" s="123">
        <v>0.89583333333333337</v>
      </c>
      <c r="AK89" s="21">
        <f>AI25</f>
        <v>0</v>
      </c>
      <c r="AM89" s="125"/>
      <c r="AN89" s="123"/>
      <c r="AO89" s="123">
        <v>0.89583333333333337</v>
      </c>
      <c r="AP89" s="21">
        <f>AN25</f>
        <v>0</v>
      </c>
    </row>
    <row r="90" spans="1:42" x14ac:dyDescent="0.3">
      <c r="A90" s="123">
        <v>0.88541666666666663</v>
      </c>
      <c r="B90" s="203">
        <f t="shared" si="2"/>
        <v>0</v>
      </c>
      <c r="D90" s="125"/>
      <c r="E90" s="123"/>
      <c r="F90" s="123">
        <v>0.90625</v>
      </c>
      <c r="G90" s="21">
        <f>E25</f>
        <v>0</v>
      </c>
      <c r="H90" s="22"/>
      <c r="I90" s="125"/>
      <c r="J90" s="123"/>
      <c r="K90" s="123">
        <v>0.90625</v>
      </c>
      <c r="L90" s="21">
        <f>J25</f>
        <v>0</v>
      </c>
      <c r="M90" s="22"/>
      <c r="N90" s="125"/>
      <c r="O90" s="123"/>
      <c r="P90" s="123">
        <v>0.90625</v>
      </c>
      <c r="Q90" s="21">
        <f>O25</f>
        <v>31.216666666666669</v>
      </c>
      <c r="R90" s="22"/>
      <c r="S90" s="125"/>
      <c r="T90" s="123"/>
      <c r="U90" s="123">
        <v>0.90625</v>
      </c>
      <c r="V90" s="21">
        <f>T25</f>
        <v>0</v>
      </c>
      <c r="W90" s="22"/>
      <c r="X90" s="125"/>
      <c r="Y90" s="123"/>
      <c r="Z90" s="123">
        <v>0.90625</v>
      </c>
      <c r="AA90" s="207">
        <f>Y25</f>
        <v>4.3166666666666682</v>
      </c>
      <c r="AB90" s="22"/>
      <c r="AC90" s="125"/>
      <c r="AD90" s="123"/>
      <c r="AE90" s="123">
        <v>0.90625</v>
      </c>
      <c r="AF90" s="207">
        <f>AD25</f>
        <v>32.766666666666673</v>
      </c>
      <c r="AH90" s="125"/>
      <c r="AI90" s="123"/>
      <c r="AJ90" s="123">
        <v>0.90625</v>
      </c>
      <c r="AK90" s="21">
        <f>AI25</f>
        <v>0</v>
      </c>
      <c r="AM90" s="125"/>
      <c r="AN90" s="123"/>
      <c r="AO90" s="123">
        <v>0.90625</v>
      </c>
      <c r="AP90" s="21">
        <f>AN25</f>
        <v>0</v>
      </c>
    </row>
    <row r="91" spans="1:42" x14ac:dyDescent="0.3">
      <c r="A91" s="123">
        <v>0.89583333333333337</v>
      </c>
      <c r="B91" s="203">
        <f t="shared" si="2"/>
        <v>0</v>
      </c>
      <c r="D91" s="125"/>
      <c r="E91" s="123"/>
      <c r="F91" s="123">
        <v>0.91666666666666663</v>
      </c>
      <c r="G91" s="21">
        <f>E25</f>
        <v>0</v>
      </c>
      <c r="H91" s="22"/>
      <c r="I91" s="125"/>
      <c r="J91" s="123"/>
      <c r="K91" s="123">
        <v>0.91666666666666663</v>
      </c>
      <c r="L91" s="21">
        <f>J25</f>
        <v>0</v>
      </c>
      <c r="M91" s="22"/>
      <c r="N91" s="125"/>
      <c r="O91" s="123"/>
      <c r="P91" s="123">
        <v>0.91666666666666663</v>
      </c>
      <c r="Q91" s="21">
        <f>O25</f>
        <v>31.216666666666669</v>
      </c>
      <c r="R91" s="22"/>
      <c r="S91" s="125"/>
      <c r="T91" s="123"/>
      <c r="U91" s="123">
        <v>0.91666666666666663</v>
      </c>
      <c r="V91" s="21">
        <f>T25</f>
        <v>0</v>
      </c>
      <c r="W91" s="22"/>
      <c r="X91" s="125"/>
      <c r="Y91" s="123"/>
      <c r="Z91" s="123">
        <v>0.91666666666666663</v>
      </c>
      <c r="AA91" s="207">
        <f>Y25</f>
        <v>4.3166666666666682</v>
      </c>
      <c r="AB91" s="22"/>
      <c r="AC91" s="125"/>
      <c r="AD91" s="123"/>
      <c r="AE91" s="123">
        <v>0.91666666666666663</v>
      </c>
      <c r="AF91" s="207">
        <f>AD25</f>
        <v>32.766666666666673</v>
      </c>
      <c r="AH91" s="125"/>
      <c r="AI91" s="123"/>
      <c r="AJ91" s="123">
        <v>0.91666666666666663</v>
      </c>
      <c r="AK91" s="21">
        <f>AI25</f>
        <v>0</v>
      </c>
      <c r="AM91" s="125"/>
      <c r="AN91" s="123"/>
      <c r="AO91" s="123">
        <v>0.91666666666666663</v>
      </c>
      <c r="AP91" s="21">
        <f>AN25</f>
        <v>0</v>
      </c>
    </row>
    <row r="92" spans="1:42" x14ac:dyDescent="0.3">
      <c r="A92" s="123">
        <v>0.90625</v>
      </c>
      <c r="B92" s="203">
        <f t="shared" si="2"/>
        <v>0</v>
      </c>
      <c r="D92" s="125"/>
      <c r="E92" s="123"/>
      <c r="F92" s="123">
        <v>0.92708333333333337</v>
      </c>
      <c r="G92" s="21">
        <f>E26</f>
        <v>0</v>
      </c>
      <c r="H92" s="22"/>
      <c r="I92" s="125"/>
      <c r="J92" s="123"/>
      <c r="K92" s="123">
        <v>0.92708333333333337</v>
      </c>
      <c r="L92" s="21">
        <f>J26</f>
        <v>0</v>
      </c>
      <c r="M92" s="22"/>
      <c r="N92" s="125"/>
      <c r="O92" s="123"/>
      <c r="P92" s="123">
        <v>0.92708333333333337</v>
      </c>
      <c r="Q92" s="21">
        <f>O26</f>
        <v>28.783333333333335</v>
      </c>
      <c r="R92" s="22"/>
      <c r="S92" s="125"/>
      <c r="T92" s="123"/>
      <c r="U92" s="123">
        <v>0.92708333333333337</v>
      </c>
      <c r="V92" s="21">
        <f>T26</f>
        <v>0</v>
      </c>
      <c r="W92" s="22"/>
      <c r="X92" s="125"/>
      <c r="Y92" s="123"/>
      <c r="Z92" s="123">
        <v>0.92708333333333337</v>
      </c>
      <c r="AA92" s="207">
        <f>Y26</f>
        <v>3.9000000000000021</v>
      </c>
      <c r="AB92" s="22"/>
      <c r="AC92" s="125"/>
      <c r="AD92" s="123"/>
      <c r="AE92" s="123">
        <v>0.92708333333333337</v>
      </c>
      <c r="AF92" s="207">
        <f>AD26</f>
        <v>31.458333333333336</v>
      </c>
      <c r="AH92" s="125"/>
      <c r="AI92" s="123"/>
      <c r="AJ92" s="123">
        <v>0.92708333333333337</v>
      </c>
      <c r="AK92" s="21">
        <f>AI26</f>
        <v>0</v>
      </c>
      <c r="AM92" s="125"/>
      <c r="AN92" s="123"/>
      <c r="AO92" s="123">
        <v>0.92708333333333337</v>
      </c>
      <c r="AP92" s="21">
        <f>AN26</f>
        <v>0</v>
      </c>
    </row>
    <row r="93" spans="1:42" x14ac:dyDescent="0.3">
      <c r="A93" s="123">
        <v>0.91666666666666663</v>
      </c>
      <c r="B93" s="203">
        <f t="shared" si="2"/>
        <v>0</v>
      </c>
      <c r="D93" s="125"/>
      <c r="E93" s="123"/>
      <c r="F93" s="123">
        <v>0.9375</v>
      </c>
      <c r="G93" s="21">
        <f>E26</f>
        <v>0</v>
      </c>
      <c r="H93" s="22"/>
      <c r="I93" s="125"/>
      <c r="J93" s="123"/>
      <c r="K93" s="123">
        <v>0.9375</v>
      </c>
      <c r="L93" s="21">
        <f>J26</f>
        <v>0</v>
      </c>
      <c r="M93" s="22"/>
      <c r="N93" s="125"/>
      <c r="O93" s="123"/>
      <c r="P93" s="123">
        <v>0.9375</v>
      </c>
      <c r="Q93" s="21">
        <f>O26</f>
        <v>28.783333333333335</v>
      </c>
      <c r="R93" s="22"/>
      <c r="S93" s="125"/>
      <c r="T93" s="123"/>
      <c r="U93" s="123">
        <v>0.9375</v>
      </c>
      <c r="V93" s="21">
        <f>T26</f>
        <v>0</v>
      </c>
      <c r="W93" s="22"/>
      <c r="X93" s="125"/>
      <c r="Y93" s="123"/>
      <c r="Z93" s="123">
        <v>0.9375</v>
      </c>
      <c r="AA93" s="207">
        <f>Y26</f>
        <v>3.9000000000000021</v>
      </c>
      <c r="AB93" s="22"/>
      <c r="AC93" s="125"/>
      <c r="AD93" s="123"/>
      <c r="AE93" s="123">
        <v>0.9375</v>
      </c>
      <c r="AF93" s="207">
        <f>AD26</f>
        <v>31.458333333333336</v>
      </c>
      <c r="AH93" s="125"/>
      <c r="AI93" s="123"/>
      <c r="AJ93" s="123">
        <v>0.9375</v>
      </c>
      <c r="AK93" s="21">
        <f>AI26</f>
        <v>0</v>
      </c>
      <c r="AM93" s="125"/>
      <c r="AN93" s="123"/>
      <c r="AO93" s="123">
        <v>0.9375</v>
      </c>
      <c r="AP93" s="21">
        <f>AN26</f>
        <v>0</v>
      </c>
    </row>
    <row r="94" spans="1:42" x14ac:dyDescent="0.3">
      <c r="A94" s="123">
        <v>0.92708333333333337</v>
      </c>
      <c r="B94" s="203">
        <f t="shared" si="2"/>
        <v>0</v>
      </c>
      <c r="D94" s="125"/>
      <c r="E94" s="123"/>
      <c r="F94" s="123">
        <v>0.94791666666666663</v>
      </c>
      <c r="G94" s="21">
        <f>E26</f>
        <v>0</v>
      </c>
      <c r="H94" s="22"/>
      <c r="I94" s="125"/>
      <c r="J94" s="123"/>
      <c r="K94" s="123">
        <v>0.94791666666666663</v>
      </c>
      <c r="L94" s="21">
        <f>J26</f>
        <v>0</v>
      </c>
      <c r="M94" s="22"/>
      <c r="N94" s="125"/>
      <c r="O94" s="123"/>
      <c r="P94" s="123">
        <v>0.94791666666666663</v>
      </c>
      <c r="Q94" s="21">
        <f>O26</f>
        <v>28.783333333333335</v>
      </c>
      <c r="R94" s="22"/>
      <c r="S94" s="125"/>
      <c r="T94" s="123"/>
      <c r="U94" s="123">
        <v>0.94791666666666663</v>
      </c>
      <c r="V94" s="21">
        <f>T26</f>
        <v>0</v>
      </c>
      <c r="W94" s="22"/>
      <c r="X94" s="125"/>
      <c r="Y94" s="123"/>
      <c r="Z94" s="123">
        <v>0.94791666666666663</v>
      </c>
      <c r="AA94" s="207">
        <f>Y26</f>
        <v>3.9000000000000021</v>
      </c>
      <c r="AB94" s="22"/>
      <c r="AC94" s="125"/>
      <c r="AD94" s="123"/>
      <c r="AE94" s="123">
        <v>0.94791666666666663</v>
      </c>
      <c r="AF94" s="207">
        <f>AD26</f>
        <v>31.458333333333336</v>
      </c>
      <c r="AH94" s="125"/>
      <c r="AI94" s="123"/>
      <c r="AJ94" s="123">
        <v>0.94791666666666663</v>
      </c>
      <c r="AK94" s="21">
        <f>AI26</f>
        <v>0</v>
      </c>
      <c r="AM94" s="125"/>
      <c r="AN94" s="123"/>
      <c r="AO94" s="123">
        <v>0.94791666666666663</v>
      </c>
      <c r="AP94" s="21">
        <f>AN26</f>
        <v>0</v>
      </c>
    </row>
    <row r="95" spans="1:42" x14ac:dyDescent="0.3">
      <c r="A95" s="123">
        <v>0.9375</v>
      </c>
      <c r="B95" s="203">
        <f t="shared" si="2"/>
        <v>0</v>
      </c>
      <c r="D95" s="125"/>
      <c r="E95" s="123"/>
      <c r="F95" s="123">
        <v>0.95833333333333337</v>
      </c>
      <c r="G95" s="21">
        <f>E26</f>
        <v>0</v>
      </c>
      <c r="H95" s="22"/>
      <c r="I95" s="125"/>
      <c r="J95" s="123"/>
      <c r="K95" s="123">
        <v>0.95833333333333337</v>
      </c>
      <c r="L95" s="21">
        <f>J26</f>
        <v>0</v>
      </c>
      <c r="M95" s="22"/>
      <c r="N95" s="125"/>
      <c r="O95" s="123"/>
      <c r="P95" s="123">
        <v>0.95833333333333337</v>
      </c>
      <c r="Q95" s="21">
        <f>O26</f>
        <v>28.783333333333335</v>
      </c>
      <c r="R95" s="22"/>
      <c r="S95" s="125"/>
      <c r="T95" s="123"/>
      <c r="U95" s="123">
        <v>0.95833333333333337</v>
      </c>
      <c r="V95" s="21">
        <f>T26</f>
        <v>0</v>
      </c>
      <c r="W95" s="22"/>
      <c r="X95" s="125"/>
      <c r="Y95" s="123"/>
      <c r="Z95" s="123">
        <v>0.95833333333333337</v>
      </c>
      <c r="AA95" s="207">
        <f>Y26</f>
        <v>3.9000000000000021</v>
      </c>
      <c r="AB95" s="22"/>
      <c r="AC95" s="125"/>
      <c r="AD95" s="123"/>
      <c r="AE95" s="123">
        <v>0.95833333333333337</v>
      </c>
      <c r="AF95" s="207">
        <f>AD26</f>
        <v>31.458333333333336</v>
      </c>
      <c r="AH95" s="125"/>
      <c r="AI95" s="123"/>
      <c r="AJ95" s="123">
        <v>0.95833333333333337</v>
      </c>
      <c r="AK95" s="21">
        <f>AI26</f>
        <v>0</v>
      </c>
      <c r="AM95" s="125"/>
      <c r="AN95" s="123"/>
      <c r="AO95" s="123">
        <v>0.95833333333333337</v>
      </c>
      <c r="AP95" s="21">
        <f>AN26</f>
        <v>0</v>
      </c>
    </row>
    <row r="96" spans="1:42" x14ac:dyDescent="0.3">
      <c r="A96" s="123">
        <v>0.94791666666666663</v>
      </c>
      <c r="B96" s="203">
        <f t="shared" si="2"/>
        <v>0</v>
      </c>
      <c r="D96" s="125"/>
      <c r="E96" s="123"/>
      <c r="F96" s="123">
        <v>0.96875</v>
      </c>
      <c r="G96" s="21">
        <f>E27</f>
        <v>0</v>
      </c>
      <c r="H96" s="22"/>
      <c r="I96" s="125"/>
      <c r="J96" s="123"/>
      <c r="K96" s="123">
        <v>0.96875</v>
      </c>
      <c r="L96" s="21">
        <f>J27</f>
        <v>0</v>
      </c>
      <c r="M96" s="22"/>
      <c r="N96" s="125"/>
      <c r="O96" s="123"/>
      <c r="P96" s="123">
        <v>0.96875</v>
      </c>
      <c r="Q96" s="21">
        <f>O27</f>
        <v>27.350000000000005</v>
      </c>
      <c r="R96" s="22"/>
      <c r="S96" s="125"/>
      <c r="T96" s="123"/>
      <c r="U96" s="123">
        <v>0.96875</v>
      </c>
      <c r="V96" s="21">
        <f>T27</f>
        <v>0</v>
      </c>
      <c r="W96" s="22"/>
      <c r="X96" s="125"/>
      <c r="Y96" s="123"/>
      <c r="Z96" s="123">
        <v>0.96875</v>
      </c>
      <c r="AA96" s="207">
        <f>Y27</f>
        <v>3.8416666666666663</v>
      </c>
      <c r="AB96" s="22"/>
      <c r="AC96" s="125"/>
      <c r="AD96" s="123"/>
      <c r="AE96" s="123">
        <v>0.96875</v>
      </c>
      <c r="AF96" s="207">
        <f>AD27</f>
        <v>30.358333333333331</v>
      </c>
      <c r="AH96" s="125"/>
      <c r="AI96" s="123"/>
      <c r="AJ96" s="123">
        <v>0.96875</v>
      </c>
      <c r="AK96" s="21">
        <f>AI27</f>
        <v>0</v>
      </c>
      <c r="AM96" s="125"/>
      <c r="AN96" s="123"/>
      <c r="AO96" s="123">
        <v>0.96875</v>
      </c>
      <c r="AP96" s="21">
        <f>AN27</f>
        <v>0</v>
      </c>
    </row>
    <row r="97" spans="1:43" x14ac:dyDescent="0.3">
      <c r="A97" s="123">
        <v>0.95833333333333337</v>
      </c>
      <c r="B97" s="203">
        <f t="shared" si="2"/>
        <v>0</v>
      </c>
      <c r="D97" s="125"/>
      <c r="E97" s="123"/>
      <c r="F97" s="123">
        <v>0.97916666666666663</v>
      </c>
      <c r="G97" s="21">
        <f>E27</f>
        <v>0</v>
      </c>
      <c r="H97" s="22"/>
      <c r="I97" s="125"/>
      <c r="J97" s="123"/>
      <c r="K97" s="123">
        <v>0.97916666666666663</v>
      </c>
      <c r="L97" s="21">
        <f>J27</f>
        <v>0</v>
      </c>
      <c r="M97" s="22"/>
      <c r="N97" s="125"/>
      <c r="O97" s="123"/>
      <c r="P97" s="123">
        <v>0.97916666666666663</v>
      </c>
      <c r="Q97" s="21">
        <f>O27</f>
        <v>27.350000000000005</v>
      </c>
      <c r="R97" s="22"/>
      <c r="S97" s="125"/>
      <c r="T97" s="123"/>
      <c r="U97" s="123">
        <v>0.97916666666666663</v>
      </c>
      <c r="V97" s="21">
        <f>T27</f>
        <v>0</v>
      </c>
      <c r="W97" s="22"/>
      <c r="X97" s="125"/>
      <c r="Y97" s="123"/>
      <c r="Z97" s="123">
        <v>0.97916666666666663</v>
      </c>
      <c r="AA97" s="207">
        <f>Y27</f>
        <v>3.8416666666666663</v>
      </c>
      <c r="AB97" s="22"/>
      <c r="AC97" s="125"/>
      <c r="AD97" s="123"/>
      <c r="AE97" s="123">
        <v>0.97916666666666663</v>
      </c>
      <c r="AF97" s="207">
        <f>AD27</f>
        <v>30.358333333333331</v>
      </c>
      <c r="AH97" s="125"/>
      <c r="AI97" s="123"/>
      <c r="AJ97" s="123">
        <v>0.97916666666666663</v>
      </c>
      <c r="AK97" s="21">
        <f>AI27</f>
        <v>0</v>
      </c>
      <c r="AM97" s="125"/>
      <c r="AN97" s="123"/>
      <c r="AO97" s="123">
        <v>0.97916666666666663</v>
      </c>
      <c r="AP97" s="21">
        <f>AN27</f>
        <v>0</v>
      </c>
    </row>
    <row r="98" spans="1:43" x14ac:dyDescent="0.3">
      <c r="A98" s="123">
        <v>0.96875</v>
      </c>
      <c r="B98" s="203">
        <f t="shared" si="2"/>
        <v>0</v>
      </c>
      <c r="D98" s="125"/>
      <c r="E98" s="123"/>
      <c r="F98" s="123">
        <v>0.98958333333333337</v>
      </c>
      <c r="G98" s="21">
        <f>E27</f>
        <v>0</v>
      </c>
      <c r="H98" s="22"/>
      <c r="I98" s="125"/>
      <c r="J98" s="123"/>
      <c r="K98" s="123">
        <v>0.98958333333333337</v>
      </c>
      <c r="L98" s="21">
        <f>J27</f>
        <v>0</v>
      </c>
      <c r="M98" s="22"/>
      <c r="N98" s="125"/>
      <c r="O98" s="123"/>
      <c r="P98" s="123">
        <v>0.98958333333333337</v>
      </c>
      <c r="Q98" s="21">
        <f>O27</f>
        <v>27.350000000000005</v>
      </c>
      <c r="R98" s="22"/>
      <c r="S98" s="125"/>
      <c r="T98" s="123"/>
      <c r="U98" s="123">
        <v>0.98958333333333337</v>
      </c>
      <c r="V98" s="21">
        <f>T27</f>
        <v>0</v>
      </c>
      <c r="W98" s="22"/>
      <c r="X98" s="125"/>
      <c r="Y98" s="123"/>
      <c r="Z98" s="123">
        <v>0.98958333333333337</v>
      </c>
      <c r="AA98" s="207">
        <f>Y27</f>
        <v>3.8416666666666663</v>
      </c>
      <c r="AB98" s="22"/>
      <c r="AC98" s="125"/>
      <c r="AD98" s="123"/>
      <c r="AE98" s="123">
        <v>0.98958333333333337</v>
      </c>
      <c r="AF98" s="207">
        <f>AD27</f>
        <v>30.358333333333331</v>
      </c>
      <c r="AH98" s="125"/>
      <c r="AI98" s="123"/>
      <c r="AJ98" s="123">
        <v>0.98958333333333337</v>
      </c>
      <c r="AK98" s="21">
        <f>AI27</f>
        <v>0</v>
      </c>
      <c r="AM98" s="125"/>
      <c r="AN98" s="123"/>
      <c r="AO98" s="123">
        <v>0.98958333333333337</v>
      </c>
      <c r="AP98" s="21">
        <f>AN27</f>
        <v>0</v>
      </c>
    </row>
    <row r="99" spans="1:43" x14ac:dyDescent="0.3">
      <c r="A99" s="123">
        <v>0.97916666666666663</v>
      </c>
      <c r="B99" s="203">
        <f t="shared" si="2"/>
        <v>0</v>
      </c>
      <c r="D99" s="126"/>
      <c r="E99" s="124"/>
      <c r="F99" s="124">
        <v>1</v>
      </c>
      <c r="G99" s="28">
        <f>E27</f>
        <v>0</v>
      </c>
      <c r="H99" s="22"/>
      <c r="I99" s="126"/>
      <c r="J99" s="124"/>
      <c r="K99" s="124">
        <v>1</v>
      </c>
      <c r="L99" s="28">
        <f>J27</f>
        <v>0</v>
      </c>
      <c r="M99" s="22"/>
      <c r="N99" s="126"/>
      <c r="O99" s="124"/>
      <c r="P99" s="124">
        <v>1</v>
      </c>
      <c r="Q99" s="28">
        <f>O27</f>
        <v>27.350000000000005</v>
      </c>
      <c r="R99" s="22"/>
      <c r="S99" s="126"/>
      <c r="T99" s="124"/>
      <c r="U99" s="124">
        <v>1</v>
      </c>
      <c r="V99" s="28">
        <f>T27</f>
        <v>0</v>
      </c>
      <c r="W99" s="22"/>
      <c r="X99" s="126"/>
      <c r="Y99" s="124"/>
      <c r="Z99" s="124">
        <v>1</v>
      </c>
      <c r="AA99" s="205">
        <f>Y27</f>
        <v>3.8416666666666663</v>
      </c>
      <c r="AB99" s="22"/>
      <c r="AC99" s="126"/>
      <c r="AD99" s="124"/>
      <c r="AE99" s="124">
        <v>1</v>
      </c>
      <c r="AF99" s="205">
        <f>AD27</f>
        <v>30.358333333333331</v>
      </c>
      <c r="AH99" s="126"/>
      <c r="AI99" s="124"/>
      <c r="AJ99" s="124">
        <v>1</v>
      </c>
      <c r="AK99" s="28">
        <f>AI27</f>
        <v>0</v>
      </c>
      <c r="AM99" s="126"/>
      <c r="AN99" s="124"/>
      <c r="AO99" s="124">
        <v>1</v>
      </c>
      <c r="AP99" s="28">
        <f>AN27</f>
        <v>0</v>
      </c>
    </row>
    <row r="100" spans="1:43" x14ac:dyDescent="0.3">
      <c r="A100" s="123">
        <v>0.98958333333333337</v>
      </c>
      <c r="B100" s="203">
        <f t="shared" si="2"/>
        <v>0</v>
      </c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</row>
    <row r="101" spans="1:43" x14ac:dyDescent="0.3">
      <c r="A101" s="123">
        <v>1</v>
      </c>
      <c r="B101" s="171">
        <f t="shared" si="2"/>
        <v>0</v>
      </c>
      <c r="D101" s="22"/>
      <c r="E101" s="22"/>
      <c r="F101" s="22"/>
      <c r="G101" s="129"/>
      <c r="H101" s="176"/>
      <c r="I101" s="22"/>
      <c r="J101" s="22"/>
      <c r="K101" s="22"/>
      <c r="L101" s="129"/>
      <c r="M101" s="173"/>
      <c r="N101" s="22"/>
      <c r="O101" s="22"/>
      <c r="P101" s="22"/>
      <c r="Q101" s="129"/>
      <c r="R101" s="173"/>
      <c r="S101" s="22"/>
      <c r="T101" s="22"/>
      <c r="U101" s="22"/>
      <c r="V101" s="129"/>
      <c r="W101" s="173"/>
      <c r="X101" s="22"/>
      <c r="Y101" s="22"/>
      <c r="Z101" s="22"/>
      <c r="AA101" s="129"/>
      <c r="AB101" s="173"/>
      <c r="AC101" s="22"/>
      <c r="AD101" s="22"/>
      <c r="AE101" s="22"/>
      <c r="AF101" s="129"/>
      <c r="AG101" s="173"/>
      <c r="AK101" s="129"/>
      <c r="AL101" s="165"/>
      <c r="AP101" s="129"/>
      <c r="AQ101" s="165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86EF-4B88-40F4-A64B-B3FDDB7C84F2}">
  <sheetPr codeName="Sheet8"/>
  <dimension ref="A1:ER105"/>
  <sheetViews>
    <sheetView zoomScale="80" zoomScaleNormal="80" workbookViewId="0"/>
  </sheetViews>
  <sheetFormatPr defaultRowHeight="14.4" x14ac:dyDescent="0.3"/>
  <cols>
    <col min="2" max="3" width="23.77734375" customWidth="1"/>
    <col min="4" max="4" width="27.44140625" bestFit="1" customWidth="1"/>
    <col min="37" max="37" width="12.77734375" bestFit="1" customWidth="1"/>
    <col min="44" max="44" width="12.77734375" bestFit="1" customWidth="1"/>
    <col min="85" max="85" width="12.77734375" bestFit="1" customWidth="1"/>
    <col min="92" max="92" width="12.77734375" bestFit="1" customWidth="1"/>
    <col min="130" max="130" width="6.109375" customWidth="1"/>
    <col min="131" max="131" width="5" customWidth="1"/>
    <col min="132" max="132" width="13.33203125" customWidth="1"/>
    <col min="133" max="133" width="13.5546875" customWidth="1"/>
    <col min="134" max="134" width="8.77734375" bestFit="1" customWidth="1"/>
    <col min="135" max="135" width="5.33203125" customWidth="1"/>
    <col min="137" max="137" width="5.6640625" bestFit="1" customWidth="1"/>
    <col min="138" max="138" width="5.5546875" customWidth="1"/>
    <col min="139" max="139" width="13" customWidth="1"/>
    <col min="140" max="140" width="13.5546875" bestFit="1" customWidth="1"/>
  </cols>
  <sheetData>
    <row r="1" spans="1:148" ht="15" thickBot="1" x14ac:dyDescent="0.35">
      <c r="F1" s="327" t="s">
        <v>277</v>
      </c>
      <c r="G1" s="328"/>
      <c r="H1" s="328"/>
      <c r="I1" s="328"/>
      <c r="J1" s="328"/>
      <c r="K1" s="328"/>
      <c r="L1" s="328"/>
      <c r="M1" s="328"/>
      <c r="N1" s="328"/>
      <c r="O1" s="328"/>
      <c r="P1" s="328"/>
      <c r="Q1" s="328"/>
      <c r="R1" s="328"/>
      <c r="S1" s="328"/>
      <c r="T1" s="328"/>
      <c r="U1" s="328"/>
      <c r="V1" s="328"/>
      <c r="W1" s="328"/>
      <c r="X1" s="328"/>
      <c r="Y1" s="328"/>
      <c r="Z1" s="328"/>
      <c r="AA1" s="328"/>
      <c r="AB1" s="328"/>
      <c r="AC1" s="328"/>
      <c r="AD1" s="328"/>
      <c r="AE1" s="328"/>
      <c r="AF1" s="328"/>
      <c r="AG1" s="328"/>
      <c r="AH1" s="328"/>
      <c r="AI1" s="328"/>
      <c r="AJ1" s="328"/>
      <c r="AK1" s="328"/>
      <c r="AL1" s="328"/>
      <c r="AM1" s="328"/>
      <c r="AN1" s="328"/>
      <c r="AO1" s="328"/>
      <c r="AP1" s="328"/>
      <c r="AQ1" s="328"/>
      <c r="AR1" s="328"/>
      <c r="AS1" s="328"/>
      <c r="AT1" s="328"/>
      <c r="AU1" s="328"/>
      <c r="AV1" s="328"/>
      <c r="AW1" s="328"/>
      <c r="AX1" s="328"/>
      <c r="AY1" s="328"/>
      <c r="AZ1" s="329"/>
      <c r="BB1" s="327" t="s">
        <v>278</v>
      </c>
      <c r="BC1" s="328"/>
      <c r="BD1" s="328"/>
      <c r="BE1" s="328"/>
      <c r="BF1" s="328"/>
      <c r="BG1" s="328"/>
      <c r="BH1" s="328"/>
      <c r="BI1" s="328"/>
      <c r="BJ1" s="328"/>
      <c r="BK1" s="328"/>
      <c r="BL1" s="328"/>
      <c r="BM1" s="328"/>
      <c r="BN1" s="328"/>
      <c r="BO1" s="328"/>
      <c r="BP1" s="328"/>
      <c r="BQ1" s="328"/>
      <c r="BR1" s="328"/>
      <c r="BS1" s="328"/>
      <c r="BT1" s="328"/>
      <c r="BU1" s="328"/>
      <c r="BV1" s="328"/>
      <c r="BW1" s="328"/>
      <c r="BX1" s="328"/>
      <c r="BY1" s="328"/>
      <c r="BZ1" s="328"/>
      <c r="CA1" s="328"/>
      <c r="CB1" s="328"/>
      <c r="CC1" s="328"/>
      <c r="CD1" s="328"/>
      <c r="CE1" s="328"/>
      <c r="CF1" s="328"/>
      <c r="CG1" s="328"/>
      <c r="CH1" s="328"/>
      <c r="CI1" s="328"/>
      <c r="CJ1" s="328"/>
      <c r="CK1" s="328"/>
      <c r="CL1" s="328"/>
      <c r="CM1" s="328"/>
      <c r="CN1" s="328"/>
      <c r="CO1" s="328"/>
      <c r="CP1" s="328"/>
      <c r="CQ1" s="328"/>
      <c r="CR1" s="328"/>
      <c r="CS1" s="328"/>
      <c r="CT1" s="328"/>
      <c r="CU1" s="328"/>
      <c r="CV1" s="329"/>
      <c r="CX1" s="327" t="s">
        <v>279</v>
      </c>
      <c r="CY1" s="328"/>
      <c r="CZ1" s="328"/>
      <c r="DA1" s="328"/>
      <c r="DB1" s="328"/>
      <c r="DC1" s="328"/>
      <c r="DD1" s="328"/>
      <c r="DE1" s="328"/>
      <c r="DF1" s="328"/>
      <c r="DG1" s="328"/>
      <c r="DH1" s="328"/>
      <c r="DI1" s="328"/>
      <c r="DJ1" s="328"/>
      <c r="DK1" s="328"/>
      <c r="DL1" s="328"/>
      <c r="DM1" s="328"/>
      <c r="DN1" s="328"/>
      <c r="DO1" s="328"/>
      <c r="DP1" s="328"/>
      <c r="DQ1" s="328"/>
      <c r="DR1" s="328"/>
      <c r="DS1" s="328"/>
      <c r="DT1" s="328"/>
      <c r="DU1" s="328"/>
      <c r="DV1" s="328"/>
      <c r="DW1" s="328"/>
      <c r="DX1" s="328"/>
      <c r="DY1" s="328"/>
      <c r="DZ1" s="328"/>
      <c r="EA1" s="328"/>
      <c r="EB1" s="328"/>
      <c r="EC1" s="328"/>
      <c r="ED1" s="328"/>
      <c r="EE1" s="328"/>
      <c r="EF1" s="328"/>
      <c r="EG1" s="328"/>
      <c r="EH1" s="328"/>
      <c r="EI1" s="328"/>
      <c r="EJ1" s="328"/>
      <c r="EK1" s="328"/>
      <c r="EL1" s="328"/>
      <c r="EM1" s="328"/>
      <c r="EN1" s="328"/>
      <c r="EO1" s="328"/>
      <c r="EP1" s="328"/>
      <c r="EQ1" s="328"/>
      <c r="ER1" s="329"/>
    </row>
    <row r="2" spans="1:148" x14ac:dyDescent="0.3">
      <c r="B2" s="255" t="s">
        <v>286</v>
      </c>
      <c r="D2" s="255" t="s">
        <v>7</v>
      </c>
      <c r="F2" s="330" t="s">
        <v>159</v>
      </c>
      <c r="G2" s="323"/>
      <c r="H2" s="323"/>
      <c r="I2" s="323"/>
      <c r="J2" s="323"/>
      <c r="K2" s="324"/>
      <c r="L2" s="22"/>
      <c r="M2" s="322" t="s">
        <v>160</v>
      </c>
      <c r="N2" s="323"/>
      <c r="O2" s="323"/>
      <c r="P2" s="323"/>
      <c r="Q2" s="323"/>
      <c r="R2" s="324"/>
      <c r="S2" s="22"/>
      <c r="T2" s="322" t="s">
        <v>161</v>
      </c>
      <c r="U2" s="323"/>
      <c r="V2" s="323"/>
      <c r="W2" s="323"/>
      <c r="X2" s="323"/>
      <c r="Y2" s="324"/>
      <c r="Z2" s="22"/>
      <c r="AA2" s="322" t="s">
        <v>162</v>
      </c>
      <c r="AB2" s="323"/>
      <c r="AC2" s="323"/>
      <c r="AD2" s="323"/>
      <c r="AE2" s="323"/>
      <c r="AF2" s="324"/>
      <c r="AG2" s="22"/>
      <c r="AH2" s="322" t="s">
        <v>163</v>
      </c>
      <c r="AI2" s="323"/>
      <c r="AJ2" s="323"/>
      <c r="AK2" s="323"/>
      <c r="AL2" s="323"/>
      <c r="AM2" s="324"/>
      <c r="AN2" s="216"/>
      <c r="AO2" s="322" t="s">
        <v>164</v>
      </c>
      <c r="AP2" s="323"/>
      <c r="AQ2" s="323"/>
      <c r="AR2" s="323"/>
      <c r="AS2" s="323"/>
      <c r="AT2" s="324"/>
      <c r="AU2" s="22"/>
      <c r="AV2" s="22"/>
      <c r="AW2" s="22"/>
      <c r="AX2" s="22"/>
      <c r="AY2" s="22"/>
      <c r="AZ2" s="209"/>
      <c r="BB2" s="330" t="s">
        <v>159</v>
      </c>
      <c r="BC2" s="323"/>
      <c r="BD2" s="323"/>
      <c r="BE2" s="323"/>
      <c r="BF2" s="323"/>
      <c r="BG2" s="324"/>
      <c r="BH2" s="22"/>
      <c r="BI2" s="322" t="s">
        <v>160</v>
      </c>
      <c r="BJ2" s="323"/>
      <c r="BK2" s="323"/>
      <c r="BL2" s="323"/>
      <c r="BM2" s="323"/>
      <c r="BN2" s="324"/>
      <c r="BO2" s="22"/>
      <c r="BP2" s="322" t="s">
        <v>161</v>
      </c>
      <c r="BQ2" s="323"/>
      <c r="BR2" s="323"/>
      <c r="BS2" s="323"/>
      <c r="BT2" s="323"/>
      <c r="BU2" s="324"/>
      <c r="BV2" s="22"/>
      <c r="BW2" s="322" t="s">
        <v>162</v>
      </c>
      <c r="BX2" s="323"/>
      <c r="BY2" s="323"/>
      <c r="BZ2" s="323"/>
      <c r="CA2" s="323"/>
      <c r="CB2" s="324"/>
      <c r="CC2" s="22"/>
      <c r="CD2" s="322" t="s">
        <v>163</v>
      </c>
      <c r="CE2" s="323"/>
      <c r="CF2" s="323"/>
      <c r="CG2" s="323"/>
      <c r="CH2" s="323"/>
      <c r="CI2" s="324"/>
      <c r="CJ2" s="216"/>
      <c r="CK2" s="322" t="s">
        <v>164</v>
      </c>
      <c r="CL2" s="323"/>
      <c r="CM2" s="323"/>
      <c r="CN2" s="323"/>
      <c r="CO2" s="323"/>
      <c r="CP2" s="324"/>
      <c r="CQ2" s="22"/>
      <c r="CR2" s="22"/>
      <c r="CS2" s="22"/>
      <c r="CT2" s="22"/>
      <c r="CU2" s="22"/>
      <c r="CV2" s="209"/>
      <c r="CX2" s="330" t="s">
        <v>159</v>
      </c>
      <c r="CY2" s="323"/>
      <c r="CZ2" s="323"/>
      <c r="DA2" s="323"/>
      <c r="DB2" s="323"/>
      <c r="DC2" s="324"/>
      <c r="DD2" s="22"/>
      <c r="DE2" s="322" t="s">
        <v>160</v>
      </c>
      <c r="DF2" s="323"/>
      <c r="DG2" s="323"/>
      <c r="DH2" s="323"/>
      <c r="DI2" s="323"/>
      <c r="DJ2" s="324"/>
      <c r="DK2" s="22"/>
      <c r="DL2" s="322" t="s">
        <v>161</v>
      </c>
      <c r="DM2" s="323"/>
      <c r="DN2" s="323"/>
      <c r="DO2" s="323"/>
      <c r="DP2" s="323"/>
      <c r="DQ2" s="324"/>
      <c r="DR2" s="22"/>
      <c r="DS2" s="322" t="s">
        <v>162</v>
      </c>
      <c r="DT2" s="323"/>
      <c r="DU2" s="323"/>
      <c r="DV2" s="323"/>
      <c r="DW2" s="323"/>
      <c r="DX2" s="324"/>
      <c r="DY2" s="22"/>
      <c r="DZ2" s="322" t="s">
        <v>163</v>
      </c>
      <c r="EA2" s="323"/>
      <c r="EB2" s="323"/>
      <c r="EC2" s="323"/>
      <c r="ED2" s="323"/>
      <c r="EE2" s="324"/>
      <c r="EF2" s="216"/>
      <c r="EG2" s="322" t="s">
        <v>164</v>
      </c>
      <c r="EH2" s="323"/>
      <c r="EI2" s="323"/>
      <c r="EJ2" s="323"/>
      <c r="EK2" s="323"/>
      <c r="EL2" s="324"/>
      <c r="EM2" s="22"/>
      <c r="EN2" s="22"/>
      <c r="EO2" s="22"/>
      <c r="EP2" s="22"/>
      <c r="EQ2" s="22"/>
      <c r="ER2" s="209"/>
    </row>
    <row r="3" spans="1:148" x14ac:dyDescent="0.3">
      <c r="B3" s="254">
        <f>'User Interface'!C8</f>
        <v>0</v>
      </c>
      <c r="D3" s="254">
        <f>'User Interface'!G8</f>
        <v>0</v>
      </c>
      <c r="F3" s="220" t="s">
        <v>264</v>
      </c>
      <c r="G3" s="152"/>
      <c r="H3" s="150" t="s">
        <v>282</v>
      </c>
      <c r="I3" s="152"/>
      <c r="J3" s="150" t="s">
        <v>265</v>
      </c>
      <c r="K3" s="152"/>
      <c r="L3" s="22"/>
      <c r="M3" s="150" t="s">
        <v>264</v>
      </c>
      <c r="N3" s="152"/>
      <c r="O3" s="150" t="s">
        <v>282</v>
      </c>
      <c r="P3" s="152"/>
      <c r="Q3" s="150" t="s">
        <v>265</v>
      </c>
      <c r="R3" s="152"/>
      <c r="S3" s="22"/>
      <c r="T3" s="150" t="s">
        <v>264</v>
      </c>
      <c r="U3" s="152"/>
      <c r="V3" s="150" t="s">
        <v>282</v>
      </c>
      <c r="W3" s="152"/>
      <c r="X3" s="150" t="s">
        <v>265</v>
      </c>
      <c r="Y3" s="152"/>
      <c r="Z3" s="22"/>
      <c r="AA3" s="150" t="s">
        <v>264</v>
      </c>
      <c r="AB3" s="152"/>
      <c r="AC3" s="150" t="s">
        <v>282</v>
      </c>
      <c r="AD3" s="152"/>
      <c r="AE3" s="150" t="s">
        <v>265</v>
      </c>
      <c r="AF3" s="152"/>
      <c r="AG3" s="22"/>
      <c r="AH3" s="150" t="s">
        <v>264</v>
      </c>
      <c r="AI3" s="152"/>
      <c r="AJ3" s="150" t="s">
        <v>282</v>
      </c>
      <c r="AK3" s="152"/>
      <c r="AL3" s="150" t="s">
        <v>265</v>
      </c>
      <c r="AM3" s="152"/>
      <c r="AN3" s="22"/>
      <c r="AO3" s="150" t="s">
        <v>264</v>
      </c>
      <c r="AP3" s="152"/>
      <c r="AQ3" s="150" t="s">
        <v>282</v>
      </c>
      <c r="AR3" s="152"/>
      <c r="AS3" s="150" t="s">
        <v>265</v>
      </c>
      <c r="AT3" s="152"/>
      <c r="AU3" s="22"/>
      <c r="AV3" s="320" t="s">
        <v>228</v>
      </c>
      <c r="AW3" s="321"/>
      <c r="AX3" s="22"/>
      <c r="AY3" s="320" t="s">
        <v>227</v>
      </c>
      <c r="AZ3" s="331"/>
      <c r="BB3" s="220" t="s">
        <v>264</v>
      </c>
      <c r="BC3" s="152"/>
      <c r="BD3" s="249" t="s">
        <v>282</v>
      </c>
      <c r="BE3" s="152"/>
      <c r="BF3" s="150" t="s">
        <v>265</v>
      </c>
      <c r="BG3" s="152"/>
      <c r="BH3" s="22"/>
      <c r="BI3" s="150" t="s">
        <v>264</v>
      </c>
      <c r="BJ3" s="152"/>
      <c r="BK3" s="150" t="s">
        <v>282</v>
      </c>
      <c r="BL3" s="152"/>
      <c r="BM3" s="150" t="s">
        <v>265</v>
      </c>
      <c r="BN3" s="152"/>
      <c r="BO3" s="22"/>
      <c r="BP3" s="150" t="s">
        <v>264</v>
      </c>
      <c r="BQ3" s="152"/>
      <c r="BR3" s="150" t="s">
        <v>282</v>
      </c>
      <c r="BS3" s="152"/>
      <c r="BT3" s="150" t="s">
        <v>265</v>
      </c>
      <c r="BU3" s="152"/>
      <c r="BV3" s="22"/>
      <c r="BW3" s="150" t="s">
        <v>264</v>
      </c>
      <c r="BX3" s="152"/>
      <c r="BY3" s="150" t="s">
        <v>282</v>
      </c>
      <c r="BZ3" s="152"/>
      <c r="CA3" s="150" t="s">
        <v>265</v>
      </c>
      <c r="CB3" s="152"/>
      <c r="CC3" s="22"/>
      <c r="CD3" s="150" t="s">
        <v>264</v>
      </c>
      <c r="CE3" s="152"/>
      <c r="CF3" s="150" t="s">
        <v>282</v>
      </c>
      <c r="CG3" s="152"/>
      <c r="CH3" s="150" t="s">
        <v>265</v>
      </c>
      <c r="CI3" s="152"/>
      <c r="CJ3" s="22"/>
      <c r="CK3" s="150" t="s">
        <v>264</v>
      </c>
      <c r="CL3" s="152"/>
      <c r="CM3" s="150" t="s">
        <v>282</v>
      </c>
      <c r="CN3" s="152"/>
      <c r="CO3" s="150" t="s">
        <v>265</v>
      </c>
      <c r="CP3" s="152"/>
      <c r="CQ3" s="22"/>
      <c r="CR3" s="320" t="s">
        <v>228</v>
      </c>
      <c r="CS3" s="321"/>
      <c r="CT3" s="22"/>
      <c r="CU3" s="320" t="s">
        <v>227</v>
      </c>
      <c r="CV3" s="331"/>
      <c r="CX3" s="220" t="s">
        <v>264</v>
      </c>
      <c r="CY3" s="152"/>
      <c r="CZ3" s="150" t="s">
        <v>282</v>
      </c>
      <c r="DA3" s="152"/>
      <c r="DB3" s="150" t="s">
        <v>265</v>
      </c>
      <c r="DC3" s="152"/>
      <c r="DD3" s="22"/>
      <c r="DE3" s="150" t="s">
        <v>264</v>
      </c>
      <c r="DF3" s="152"/>
      <c r="DG3" s="150" t="s">
        <v>282</v>
      </c>
      <c r="DH3" s="152"/>
      <c r="DI3" s="150" t="s">
        <v>265</v>
      </c>
      <c r="DJ3" s="152"/>
      <c r="DK3" s="22"/>
      <c r="DL3" s="150" t="s">
        <v>264</v>
      </c>
      <c r="DM3" s="152"/>
      <c r="DN3" s="150" t="s">
        <v>282</v>
      </c>
      <c r="DO3" s="152"/>
      <c r="DP3" s="150" t="s">
        <v>265</v>
      </c>
      <c r="DQ3" s="152"/>
      <c r="DR3" s="22"/>
      <c r="DS3" s="150" t="s">
        <v>264</v>
      </c>
      <c r="DT3" s="152"/>
      <c r="DU3" s="150" t="s">
        <v>282</v>
      </c>
      <c r="DV3" s="152"/>
      <c r="DW3" s="150" t="s">
        <v>265</v>
      </c>
      <c r="DX3" s="152"/>
      <c r="DY3" s="22"/>
      <c r="DZ3" s="150" t="s">
        <v>264</v>
      </c>
      <c r="EA3" s="152"/>
      <c r="EB3" s="150" t="s">
        <v>282</v>
      </c>
      <c r="EC3" s="152"/>
      <c r="ED3" s="150" t="s">
        <v>265</v>
      </c>
      <c r="EE3" s="152"/>
      <c r="EF3" s="22"/>
      <c r="EG3" s="150" t="s">
        <v>264</v>
      </c>
      <c r="EH3" s="152"/>
      <c r="EI3" s="150" t="s">
        <v>282</v>
      </c>
      <c r="EJ3" s="152"/>
      <c r="EK3" s="150" t="s">
        <v>265</v>
      </c>
      <c r="EL3" s="152"/>
      <c r="EM3" s="22"/>
      <c r="EN3" s="320" t="s">
        <v>228</v>
      </c>
      <c r="EO3" s="321"/>
      <c r="EP3" s="22"/>
      <c r="EQ3" s="320" t="s">
        <v>227</v>
      </c>
      <c r="ER3" s="331"/>
    </row>
    <row r="4" spans="1:148" x14ac:dyDescent="0.3">
      <c r="F4" s="219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140" t="s">
        <v>226</v>
      </c>
      <c r="AK4" s="202" t="s">
        <v>9</v>
      </c>
      <c r="AL4" s="22"/>
      <c r="AM4" s="22"/>
      <c r="AN4" s="22"/>
      <c r="AO4" s="22"/>
      <c r="AP4" s="22"/>
      <c r="AQ4" s="140" t="s">
        <v>226</v>
      </c>
      <c r="AR4" s="202" t="s">
        <v>9</v>
      </c>
      <c r="AS4" s="22"/>
      <c r="AT4" s="22"/>
      <c r="AU4" s="22"/>
      <c r="AV4" s="22"/>
      <c r="AW4" s="22"/>
      <c r="AX4" s="22"/>
      <c r="AY4" s="22"/>
      <c r="AZ4" s="209"/>
      <c r="BB4" s="219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140" t="s">
        <v>226</v>
      </c>
      <c r="CG4" s="202" t="s">
        <v>9</v>
      </c>
      <c r="CH4" s="22"/>
      <c r="CI4" s="22"/>
      <c r="CJ4" s="22"/>
      <c r="CK4" s="22"/>
      <c r="CL4" s="22"/>
      <c r="CM4" s="140" t="s">
        <v>226</v>
      </c>
      <c r="CN4" s="202" t="s">
        <v>9</v>
      </c>
      <c r="CO4" s="22"/>
      <c r="CP4" s="22"/>
      <c r="CQ4" s="22"/>
      <c r="CR4" s="22"/>
      <c r="CS4" s="22"/>
      <c r="CT4" s="22"/>
      <c r="CU4" s="22"/>
      <c r="CV4" s="209"/>
      <c r="CX4" s="219"/>
      <c r="CY4" s="22"/>
      <c r="CZ4" s="22"/>
      <c r="DA4" s="22"/>
      <c r="DB4" s="22"/>
      <c r="DC4" s="22"/>
      <c r="DD4" s="22"/>
      <c r="DE4" s="22"/>
      <c r="DF4" s="22"/>
      <c r="DG4" s="22"/>
      <c r="DH4" s="22"/>
      <c r="DI4" s="22"/>
      <c r="DJ4" s="22"/>
      <c r="DK4" s="22"/>
      <c r="DL4" s="22"/>
      <c r="DM4" s="22"/>
      <c r="DN4" s="22"/>
      <c r="DO4" s="22"/>
      <c r="DP4" s="22"/>
      <c r="DQ4" s="22"/>
      <c r="DR4" s="22"/>
      <c r="DS4" s="22"/>
      <c r="DT4" s="22"/>
      <c r="DU4" s="22"/>
      <c r="DV4" s="22"/>
      <c r="DW4" s="22"/>
      <c r="DX4" s="22"/>
      <c r="DY4" s="22"/>
      <c r="DZ4" s="22"/>
      <c r="EA4" s="22"/>
      <c r="EB4" s="234" t="s">
        <v>226</v>
      </c>
      <c r="EC4" s="235" t="s">
        <v>9</v>
      </c>
      <c r="ED4" s="22"/>
      <c r="EE4" s="22"/>
      <c r="EF4" s="22"/>
      <c r="EG4" s="22"/>
      <c r="EH4" s="22"/>
      <c r="EI4" s="234" t="s">
        <v>226</v>
      </c>
      <c r="EJ4" s="237" t="s">
        <v>9</v>
      </c>
      <c r="EK4" s="22"/>
      <c r="EL4" s="22"/>
      <c r="EM4" s="22"/>
      <c r="EN4" s="22"/>
      <c r="EO4" s="22"/>
      <c r="EP4" s="22"/>
      <c r="EQ4" s="22"/>
      <c r="ER4" s="209"/>
    </row>
    <row r="5" spans="1:148" ht="28.8" x14ac:dyDescent="0.3">
      <c r="A5" s="185" t="s">
        <v>226</v>
      </c>
      <c r="B5" s="253" t="s">
        <v>277</v>
      </c>
      <c r="C5" s="253" t="s">
        <v>278</v>
      </c>
      <c r="D5" s="253" t="s">
        <v>279</v>
      </c>
      <c r="F5" s="219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125">
        <v>1.0416666666666666E-2</v>
      </c>
      <c r="AK5" s="233">
        <f>IF('Temperature Profiles'!AA4&gt;17,(0.005*('Temperature Profiles'!AA4^2) - 0.1517*'Temperature Profiles'!AA4 + 1.1701)*1000,0)</f>
        <v>0</v>
      </c>
      <c r="AL5" s="22"/>
      <c r="AM5" s="22"/>
      <c r="AN5" s="22"/>
      <c r="AO5" s="22"/>
      <c r="AP5" s="22"/>
      <c r="AQ5" s="125">
        <v>1.0416666666666666E-2</v>
      </c>
      <c r="AR5" s="211">
        <f>IF('Temperature Profiles'!AF4&gt;17,(0.005*('Temperature Profiles'!AF4^2) - 0.1517*'Temperature Profiles'!AF4 + 1.1702)*1000,0)</f>
        <v>1011.9611805555562</v>
      </c>
      <c r="AS5" s="22"/>
      <c r="AT5" s="22"/>
      <c r="AU5" s="22"/>
      <c r="AV5" s="22"/>
      <c r="AW5" s="22"/>
      <c r="AX5" s="22"/>
      <c r="AY5" s="22"/>
      <c r="AZ5" s="209"/>
      <c r="BB5" s="219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125">
        <v>1.0416666666666666E-2</v>
      </c>
      <c r="CG5" s="206">
        <f>IF('Temperature Profiles'!AA4&lt;17,(-0.0076*'Temperature Profiles'!AA4+0.1245)*1000,0)</f>
        <v>95.303333333333342</v>
      </c>
      <c r="CH5" s="22"/>
      <c r="CI5" s="22"/>
      <c r="CJ5" s="22"/>
      <c r="CK5" s="22"/>
      <c r="CL5" s="22"/>
      <c r="CM5" s="125">
        <v>1.0416666666666666E-2</v>
      </c>
      <c r="CN5" s="206">
        <f>IF('Temperature Profiles'!AF4&lt;17,(-0.0076*'Temperature Profiles'!AF4+0.1245)*1000,0)</f>
        <v>0</v>
      </c>
      <c r="CO5" s="22"/>
      <c r="CP5" s="22"/>
      <c r="CQ5" s="22"/>
      <c r="CR5" s="22"/>
      <c r="CS5" s="22"/>
      <c r="CT5" s="22"/>
      <c r="CU5" s="22"/>
      <c r="CV5" s="209"/>
      <c r="CX5" s="219"/>
      <c r="CY5" s="22"/>
      <c r="CZ5" s="22"/>
      <c r="DA5" s="22"/>
      <c r="DB5" s="22"/>
      <c r="DC5" s="22"/>
      <c r="DD5" s="22"/>
      <c r="DE5" s="22"/>
      <c r="DF5" s="22"/>
      <c r="DG5" s="22"/>
      <c r="DH5" s="22"/>
      <c r="DI5" s="22"/>
      <c r="DJ5" s="22"/>
      <c r="DK5" s="22"/>
      <c r="DL5" s="22"/>
      <c r="DM5" s="22"/>
      <c r="DN5" s="22"/>
      <c r="DO5" s="22"/>
      <c r="DP5" s="22"/>
      <c r="DQ5" s="22"/>
      <c r="DR5" s="22"/>
      <c r="DS5" s="22"/>
      <c r="DT5" s="22"/>
      <c r="DU5" s="22"/>
      <c r="DV5" s="22"/>
      <c r="DW5" s="22"/>
      <c r="DX5" s="22"/>
      <c r="DY5" s="22"/>
      <c r="DZ5" s="22"/>
      <c r="EA5" s="22"/>
      <c r="EB5" s="125">
        <v>1.0416666666666666E-2</v>
      </c>
      <c r="EC5" s="241">
        <f>IF('Temperature Profiles'!AA4&gt;17,(0.0043*('Temperature Profiles'!AA4^2)-0.1116*'Temperature Profiles'!AA4+0.6576)*1000,IF('Temperature Profiles'!AA4&lt;17,(0.0053*('Temperature Profiles'!AA4^2)-0.1876*'Temperature Profiles'!AA4+1.7649)*1000,0))</f>
        <v>1122.4228680555557</v>
      </c>
      <c r="ED5" s="22"/>
      <c r="EE5" s="22"/>
      <c r="EF5" s="22"/>
      <c r="EG5" s="22"/>
      <c r="EH5" s="22"/>
      <c r="EI5" s="125">
        <v>1.0416666666666666E-2</v>
      </c>
      <c r="EJ5" s="243">
        <f>IF('Temperature Profiles'!AF4&gt;17,(0.0043*('Temperature Profiles'!AF4^2)-0.1116*'Temperature Profiles'!AF4+0.6576)*1000,IF('Temperature Profiles'!AF4&lt;17,(0.0053*('Temperature Profiles'!AF4^2)-0.1876*'Temperature Profiles'!AF4+1.7649)*1000,0))</f>
        <v>1073.3852986111115</v>
      </c>
      <c r="EK5" s="22"/>
      <c r="EL5" s="22"/>
      <c r="EM5" s="22"/>
      <c r="EN5" s="22"/>
      <c r="EO5" s="22"/>
      <c r="EP5" s="22"/>
      <c r="EQ5" s="22"/>
      <c r="ER5" s="209"/>
    </row>
    <row r="6" spans="1:148" x14ac:dyDescent="0.3">
      <c r="A6" s="123">
        <v>1.0416666666666666E-2</v>
      </c>
      <c r="B6" s="256">
        <f>IF(AND($B$3=$F$2,$D$3=$F$3),G5,IF(AND($B$3=$F$2,$D$3=$H$3),I5,IF(AND($B$3=$F$2,$D$3=$J$3),K5,IF(AND($B$3=$M$2,$D$3=$M$3),N5,IF(AND($B$3=$M$2,$D$3=$O$3),P5,IF(AND($B$3=$M$2,$D$3=$Q$3),R5,IF(AND($B$3=$T$2,$D$3=$T$3),U5,IF(AND($B$3=$T$2,$D$3=$V$3),W5,IF(AND($B$3=$T$2,$D$3=$X$3),Y5,IF(AND($B$3=$AA$2,$D$3=$AA$3),AB5,IF(AND($B$3=$AA$2,$D$3=$AC$3),AD5,IF(AND($B$3=$AA$2,$D$3=$AE$3),AF5,IF(AND($B$3=$AH$2,$D$3=$AH$3),AI5,IF(AND($B$3=$AH$2,$D$3=$AJ$3),AK5,IF(AND($B$3=$AH$2,$D$3=$AL$3),AM5,IF(AND($B$3=$AO$2,$D$3=$AO$3),AP5,IF(AND($B$3=$AO$2,$D$3=$AQ$3),AR5,IF(AND($B$3=$AO$2,$D$3=$AS$3),AT5,IF($B$3=$AV$3,AW5,IF($B$3=$AY$3,AZ5,0))))))))))))))))))))</f>
        <v>0</v>
      </c>
      <c r="C6" s="257">
        <f>IF(AND($B$3=$BB$2,$D$3=$BB$3),BC5,IF(AND($B$3=$BB$2,$D$3=$BD$3),BE5,IF(AND($B$3=$BB$2,$D$3=$BF$3),BG5,IF(AND($B$3=$BI$2,$D$3=$BI$3),BJ5,IF(AND($B$3=$BI$2,$D$3=$BK$3),BL5,IF(AND($B$3=$BI$2,$D$3=$BM$3),BN5,IF(AND($B$3=$BP$2,$D$3=$BP$3),BQ5,IF(AND($B$3=$BP$2,$D$3=$BR$3),BS5,IF(AND($B$3=$BP$2,$D$3=$BT$3),BU5,IF(AND($B$3=$BW$2,$D$3=$BW$3),BX5,IF(AND($B$3=$BW$2,$D$3=$BY$3),BZ5,IF(AND($B$3=$BW$2,$D$3=$CA$3),CB5,IF(AND($B$3=$CD$2,$D$3=$CD$3),CE5,IF(AND($B$3=$CD$2,$D$3=$CF$3),CG5,IF(AND($B$3=$CD$2,$D$3=$CH$3),CI5,IF(AND($B$3=$CK$2,$D$3=$CK$3),CL5,IF(AND($B$3=$CK$2,$D$3=$CM$3),CN5,IF(AND($B$3=$CK$2,$D$3=$CO$3),CP5,IF($B$3=$CR$3,CS5,IF($B$3=$CU$3,CV5,0))))))))))))))))))))</f>
        <v>0</v>
      </c>
      <c r="D6" s="258">
        <f>IF(AND($B$3=$CX$2,$D$3=$CX$3),CY5,IF(AND($B$3=$CX$2,$D$3=$CZ$3),DA5,IF(AND($B$3=$CX$2,$D$3=$DB$3),DC5,IF(AND($B$3=$DE$2,$D$3=$DE$3),DF5,IF(AND($B$3=$DE$2,$D$3=$DG$3),DH5,IF(AND($B$3=$DE$2,$D$3=$DI$3),DJ5,IF(AND($B$3=$DL$2,$D$3=$DL$3),DM5,IF(AND($B$3=$DL$2,$D$3=$DN$3),DO5,IF(AND($B$3=$DL$2,$D$3=$DP$3),DQ5,IF(AND($B$3=$DS$2,$D$3=$DS$3),DT5,IF(AND($B$3=$DS$2,$D$3=$DU$3),DV5,IF(AND($B$3=$DS$2,$D$3=$DW$3),DX5,IF(AND($B$3=$DZ$2,$D$3=$DZ$3),EA5,IF(AND($B$3=$DZ$2,$D$3=$EB$3),EC5,IF(AND($B$3=$DZ$2,$D$3=$ED$3),EE5,IF(AND($B$3=$EG$2,$D$3=$EG$3),EH5,IF(AND($B$3=$EG$2,$D$3=$EI$3),EJ5,IF(AND($B$3=$EG$2,$D$3=$EK$3),EL5,IF($B$3=$EN$3,EO5,IF($B$3=$EQ$3,ER5,0))))))))))))))))))))</f>
        <v>0</v>
      </c>
      <c r="F6" s="219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125">
        <v>2.0833333333333332E-2</v>
      </c>
      <c r="AK6" s="233">
        <f>IF('Temperature Profiles'!AA5&gt;17,(0.005*('Temperature Profiles'!AA5^2) - 0.1517*'Temperature Profiles'!AA5 + 1.1701)*1000,0)</f>
        <v>0</v>
      </c>
      <c r="AL6" s="22"/>
      <c r="AM6" s="22"/>
      <c r="AN6" s="22"/>
      <c r="AO6" s="22"/>
      <c r="AP6" s="22"/>
      <c r="AQ6" s="125">
        <v>2.0833333333333332E-2</v>
      </c>
      <c r="AR6" s="211">
        <f>IF('Temperature Profiles'!AF5&gt;17,(0.005*('Temperature Profiles'!AF5^2) - 0.1517*'Temperature Profiles'!AF5 + 1.1702)*1000,0)</f>
        <v>1011.9611805555562</v>
      </c>
      <c r="AS6" s="22"/>
      <c r="AT6" s="22"/>
      <c r="AU6" s="22"/>
      <c r="AV6" s="22"/>
      <c r="AW6" s="22"/>
      <c r="AX6" s="22"/>
      <c r="AY6" s="22"/>
      <c r="AZ6" s="209"/>
      <c r="BB6" s="219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14"/>
      <c r="CD6" s="22"/>
      <c r="CE6" s="22"/>
      <c r="CF6" s="125">
        <v>2.0833333333333332E-2</v>
      </c>
      <c r="CG6" s="206">
        <f>IF('Temperature Profiles'!AA5&lt;17,(-0.0076*'Temperature Profiles'!AA5+0.1245)*1000,0)</f>
        <v>95.303333333333342</v>
      </c>
      <c r="CH6" s="22"/>
      <c r="CI6" s="22"/>
      <c r="CJ6" s="22"/>
      <c r="CK6" s="22"/>
      <c r="CL6" s="22"/>
      <c r="CM6" s="125">
        <v>2.0833333333333332E-2</v>
      </c>
      <c r="CN6" s="206">
        <f>IF('Temperature Profiles'!AF5&lt;17,(-0.0076*'Temperature Profiles'!AF5+0.1245)*1000,0)</f>
        <v>0</v>
      </c>
      <c r="CO6" s="22"/>
      <c r="CP6" s="22"/>
      <c r="CQ6" s="22"/>
      <c r="CR6" s="22"/>
      <c r="CS6" s="22"/>
      <c r="CT6" s="22"/>
      <c r="CU6" s="22"/>
      <c r="CV6" s="209"/>
      <c r="CX6" s="219"/>
      <c r="CY6" s="22"/>
      <c r="CZ6" s="22"/>
      <c r="DA6" s="22"/>
      <c r="DB6" s="22"/>
      <c r="DC6" s="22"/>
      <c r="DD6" s="22"/>
      <c r="DE6" s="22"/>
      <c r="DF6" s="22"/>
      <c r="DG6" s="22"/>
      <c r="DH6" s="22"/>
      <c r="DI6" s="22"/>
      <c r="DJ6" s="22"/>
      <c r="DK6" s="22"/>
      <c r="DL6" s="22"/>
      <c r="DM6" s="22"/>
      <c r="DN6" s="22"/>
      <c r="DO6" s="22"/>
      <c r="DP6" s="22"/>
      <c r="DQ6" s="22"/>
      <c r="DR6" s="22"/>
      <c r="DS6" s="22"/>
      <c r="DT6" s="22"/>
      <c r="DU6" s="22"/>
      <c r="DV6" s="22"/>
      <c r="DW6" s="22"/>
      <c r="DX6" s="22"/>
      <c r="DY6" s="22"/>
      <c r="DZ6" s="22"/>
      <c r="EA6" s="22"/>
      <c r="EB6" s="125">
        <v>2.0833333333333332E-2</v>
      </c>
      <c r="EC6" s="241">
        <f>IF('Temperature Profiles'!AA5&gt;17,(0.0043*('Temperature Profiles'!AA5^2)-0.1116*'Temperature Profiles'!AA5+0.6576)*1000,IF('Temperature Profiles'!AA5&lt;17,(0.0053*('Temperature Profiles'!AA5^2)-0.1876*'Temperature Profiles'!AA5+1.7649)*1000,0))</f>
        <v>1122.4228680555557</v>
      </c>
      <c r="ED6" s="22"/>
      <c r="EE6" s="22"/>
      <c r="EF6" s="22"/>
      <c r="EG6" s="22"/>
      <c r="EH6" s="22"/>
      <c r="EI6" s="125">
        <v>2.0833333333333332E-2</v>
      </c>
      <c r="EJ6" s="243">
        <f>IF('Temperature Profiles'!AF5&gt;17,(0.0043*('Temperature Profiles'!AF5^2)-0.1116*'Temperature Profiles'!AF5+0.6576)*1000,IF('Temperature Profiles'!AF5&lt;17,(0.0053*('Temperature Profiles'!AF5^2)-0.1876*'Temperature Profiles'!AF5+1.7649)*1000,0))</f>
        <v>1073.3852986111115</v>
      </c>
      <c r="EK6" s="22"/>
      <c r="EL6" s="22"/>
      <c r="EM6" s="22"/>
      <c r="EN6" s="22"/>
      <c r="EO6" s="22"/>
      <c r="EP6" s="22"/>
      <c r="EQ6" s="22"/>
      <c r="ER6" s="209"/>
    </row>
    <row r="7" spans="1:148" x14ac:dyDescent="0.3">
      <c r="A7" s="123">
        <v>2.0833333333333332E-2</v>
      </c>
      <c r="B7" s="259">
        <f t="shared" ref="B7:B70" si="0">IF(AND($B$3=$F$2,$D$3=$F$3),G6,IF(AND($B$3=$F$2,$D$3=$H$3),I6,IF(AND($B$3=$F$2,$D$3=$J$3),K6,IF(AND($B$3=$M$2,$D$3=$M$3),N6,IF(AND($B$3=$M$2,$D$3=$O$3),P6,IF(AND($B$3=$M$2,$D$3=$Q$3),R6,IF(AND($B$3=$T$2,$D$3=$T$3),U6,IF(AND($B$3=$T$2,$D$3=$V$3),W6,IF(AND($B$3=$T$2,$D$3=$X$3),Y6,IF(AND($B$3=$AA$2,$D$3=$AA$3),AB6,IF(AND($B$3=$AA$2,$D$3=$AC$3),AD6,IF(AND($B$3=$AA$2,$D$3=$AE$3),AF6,IF(AND($B$3=$AH$2,$D$3=$AH$3),AI6,IF(AND($B$3=$AH$2,$D$3=$AJ$3),AK6,IF(AND($B$3=$AH$2,$D$3=$AL$3),AM6,IF(AND($B$3=$AO$2,$D$3=$AO$3),AP6,IF(AND($B$3=$AO$2,$D$3=$AQ$3),AR6,IF(AND($B$3=$AO$2,$D$3=$AS$3),AT6,IF($B$3=$AV$3,AW6,IF($B$3=$AY$3,AZ6,0))))))))))))))))))))</f>
        <v>0</v>
      </c>
      <c r="C7" s="22">
        <f t="shared" ref="C7:C70" si="1">IF(AND($B$3=$BB$2,$D$3=$BB$3),BC6,IF(AND($B$3=$BB$2,$D$3=$BD$3),BE6,IF(AND($B$3=$BB$2,$D$3=$BF$3),BG6,IF(AND($B$3=$BI$2,$D$3=$BI$3),BJ6,IF(AND($B$3=$BI$2,$D$3=$BK$3),BL6,IF(AND($B$3=$BI$2,$D$3=$BM$3),BN6,IF(AND($B$3=$BP$2,$D$3=$BP$3),BQ6,IF(AND($B$3=$BP$2,$D$3=$BR$3),BS6,IF(AND($B$3=$BP$2,$D$3=$BT$3),BU6,IF(AND($B$3=$BW$2,$D$3=$BW$3),BX6,IF(AND($B$3=$BW$2,$D$3=$BY$3),BZ6,IF(AND($B$3=$BW$2,$D$3=$CA$3),CB6,IF(AND($B$3=$CD$2,$D$3=$CD$3),CE6,IF(AND($B$3=$CD$2,$D$3=$CF$3),CG6,IF(AND($B$3=$CD$2,$D$3=$CH$3),CI6,IF(AND($B$3=$CK$2,$D$3=$CK$3),CL6,IF(AND($B$3=$CK$2,$D$3=$CM$3),CN6,IF(AND($B$3=$CK$2,$D$3=$CO$3),CP6,IF($B$3=$CR$3,CS6,IF($B$3=$CU$3,CV6,0))))))))))))))))))))</f>
        <v>0</v>
      </c>
      <c r="D7" s="21">
        <f t="shared" ref="D7:D70" si="2">IF(AND($B$3=$CX$2,$D$3=$CX$3),CY6,IF(AND($B$3=$CX$2,$D$3=$CZ$3),DA6,IF(AND($B$3=$CX$2,$D$3=$DB$3),DC6,IF(AND($B$3=$DE$2,$D$3=$DE$3),DF6,IF(AND($B$3=$DE$2,$D$3=$DG$3),DH6,IF(AND($B$3=$DE$2,$D$3=$DI$3),DJ6,IF(AND($B$3=$DL$2,$D$3=$DL$3),DM6,IF(AND($B$3=$DL$2,$D$3=$DN$3),DO6,IF(AND($B$3=$DL$2,$D$3=$DP$3),DQ6,IF(AND($B$3=$DS$2,$D$3=$DS$3),DT6,IF(AND($B$3=$DS$2,$D$3=$DU$3),DV6,IF(AND($B$3=$DS$2,$D$3=$DW$3),DX6,IF(AND($B$3=$DZ$2,$D$3=$DZ$3),EA6,IF(AND($B$3=$DZ$2,$D$3=$EB$3),EC6,IF(AND($B$3=$DZ$2,$D$3=$ED$3),EE6,IF(AND($B$3=$EG$2,$D$3=$EG$3),EH6,IF(AND($B$3=$EG$2,$D$3=$EI$3),EJ6,IF(AND($B$3=$EG$2,$D$3=$EK$3),EL6,IF($B$3=$EN$3,EO6,IF($B$3=$EQ$3,ER6,0))))))))))))))))))))</f>
        <v>0</v>
      </c>
      <c r="F7" s="219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14"/>
      <c r="AI7" s="22"/>
      <c r="AJ7" s="125">
        <v>3.125E-2</v>
      </c>
      <c r="AK7" s="233">
        <f>IF('Temperature Profiles'!AA6&gt;17,(0.005*('Temperature Profiles'!AA6^2) - 0.1517*'Temperature Profiles'!AA6 + 1.1701)*1000,0)</f>
        <v>0</v>
      </c>
      <c r="AL7" s="22"/>
      <c r="AM7" s="22"/>
      <c r="AN7" s="22"/>
      <c r="AO7" s="22"/>
      <c r="AP7" s="22"/>
      <c r="AQ7" s="125">
        <v>3.125E-2</v>
      </c>
      <c r="AR7" s="211">
        <f>IF('Temperature Profiles'!AF6&gt;17,(0.005*('Temperature Profiles'!AF6^2) - 0.1517*'Temperature Profiles'!AF6 + 1.1702)*1000,0)</f>
        <v>1011.9611805555562</v>
      </c>
      <c r="AS7" s="22"/>
      <c r="AT7" s="22"/>
      <c r="AU7" s="22"/>
      <c r="AV7" s="22"/>
      <c r="AW7" s="22"/>
      <c r="AX7" s="22"/>
      <c r="AY7" s="22"/>
      <c r="AZ7" s="209"/>
      <c r="BB7" s="219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18"/>
      <c r="CD7" s="22"/>
      <c r="CE7" s="22"/>
      <c r="CF7" s="125">
        <v>3.125E-2</v>
      </c>
      <c r="CG7" s="206">
        <f>IF('Temperature Profiles'!AA6&lt;17,(-0.0076*'Temperature Profiles'!AA6+0.1245)*1000,0)</f>
        <v>95.303333333333342</v>
      </c>
      <c r="CH7" s="22"/>
      <c r="CI7" s="22"/>
      <c r="CJ7" s="22"/>
      <c r="CK7" s="22"/>
      <c r="CL7" s="22"/>
      <c r="CM7" s="125">
        <v>3.125E-2</v>
      </c>
      <c r="CN7" s="206">
        <f>IF('Temperature Profiles'!AF6&lt;17,(-0.0076*'Temperature Profiles'!AF6+0.1245)*1000,0)</f>
        <v>0</v>
      </c>
      <c r="CO7" s="22"/>
      <c r="CP7" s="22"/>
      <c r="CQ7" s="22"/>
      <c r="CR7" s="22"/>
      <c r="CS7" s="22"/>
      <c r="CT7" s="22"/>
      <c r="CU7" s="22"/>
      <c r="CV7" s="209"/>
      <c r="CX7" s="219"/>
      <c r="CY7" s="22"/>
      <c r="CZ7" s="22"/>
      <c r="DA7" s="22"/>
      <c r="DB7" s="22"/>
      <c r="DC7" s="22"/>
      <c r="DD7" s="22"/>
      <c r="DE7" s="22"/>
      <c r="DF7" s="22"/>
      <c r="DG7" s="22"/>
      <c r="DH7" s="22"/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22"/>
      <c r="DZ7" s="22"/>
      <c r="EA7" s="22"/>
      <c r="EB7" s="125">
        <v>3.125E-2</v>
      </c>
      <c r="EC7" s="241">
        <f>IF('Temperature Profiles'!AA6&gt;17,(0.0043*('Temperature Profiles'!AA6^2)-0.1116*'Temperature Profiles'!AA6+0.6576)*1000,IF('Temperature Profiles'!AA6&lt;17,(0.0053*('Temperature Profiles'!AA6^2)-0.1876*'Temperature Profiles'!AA6+1.7649)*1000,0))</f>
        <v>1122.4228680555557</v>
      </c>
      <c r="ED7" s="22"/>
      <c r="EE7" s="22"/>
      <c r="EF7" s="22"/>
      <c r="EG7" s="22"/>
      <c r="EH7" s="22"/>
      <c r="EI7" s="125">
        <v>3.125E-2</v>
      </c>
      <c r="EJ7" s="243">
        <f>IF('Temperature Profiles'!AF6&gt;17,(0.0043*('Temperature Profiles'!AF6^2)-0.1116*'Temperature Profiles'!AF6+0.6576)*1000,IF('Temperature Profiles'!AF6&lt;17,(0.0053*('Temperature Profiles'!AF6^2)-0.1876*'Temperature Profiles'!AF6+1.7649)*1000,0))</f>
        <v>1073.3852986111115</v>
      </c>
      <c r="EK7" s="22"/>
      <c r="EL7" s="22"/>
      <c r="EM7" s="22"/>
      <c r="EN7" s="22"/>
      <c r="EO7" s="22"/>
      <c r="EP7" s="22"/>
      <c r="EQ7" s="22"/>
      <c r="ER7" s="209"/>
    </row>
    <row r="8" spans="1:148" x14ac:dyDescent="0.3">
      <c r="A8" s="123">
        <v>3.125E-2</v>
      </c>
      <c r="B8" s="259">
        <f t="shared" si="0"/>
        <v>0</v>
      </c>
      <c r="C8" s="22">
        <f t="shared" si="1"/>
        <v>0</v>
      </c>
      <c r="D8" s="21">
        <f t="shared" si="2"/>
        <v>0</v>
      </c>
      <c r="F8" s="219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18"/>
      <c r="AI8" s="22"/>
      <c r="AJ8" s="125">
        <v>4.1666666666666664E-2</v>
      </c>
      <c r="AK8" s="233">
        <f>IF('Temperature Profiles'!AA7&gt;17,(0.005*('Temperature Profiles'!AA7^2) - 0.1517*'Temperature Profiles'!AA7 + 1.1701)*1000,0)</f>
        <v>0</v>
      </c>
      <c r="AL8" s="22"/>
      <c r="AM8" s="22"/>
      <c r="AN8" s="22"/>
      <c r="AO8" s="22"/>
      <c r="AP8" s="22"/>
      <c r="AQ8" s="125">
        <v>4.1666666666666664E-2</v>
      </c>
      <c r="AR8" s="211">
        <f>IF('Temperature Profiles'!AF7&gt;17,(0.005*('Temperature Profiles'!AF7^2) - 0.1517*'Temperature Profiles'!AF7 + 1.1702)*1000,0)</f>
        <v>1011.9611805555562</v>
      </c>
      <c r="AS8" s="22"/>
      <c r="AT8" s="22"/>
      <c r="AU8" s="22"/>
      <c r="AV8" s="22"/>
      <c r="AW8" s="22"/>
      <c r="AX8" s="22"/>
      <c r="AY8" s="22"/>
      <c r="AZ8" s="209"/>
      <c r="BB8" s="219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125">
        <v>4.1666666666666664E-2</v>
      </c>
      <c r="CG8" s="206">
        <f>IF('Temperature Profiles'!AA7&lt;17,(-0.0076*'Temperature Profiles'!AA7+0.1245)*1000,0)</f>
        <v>95.303333333333342</v>
      </c>
      <c r="CH8" s="22"/>
      <c r="CI8" s="22"/>
      <c r="CJ8" s="22"/>
      <c r="CK8" s="22"/>
      <c r="CL8" s="22"/>
      <c r="CM8" s="125">
        <v>4.1666666666666664E-2</v>
      </c>
      <c r="CN8" s="206">
        <f>IF('Temperature Profiles'!AF7&lt;17,(-0.0076*'Temperature Profiles'!AF7+0.1245)*1000,0)</f>
        <v>0</v>
      </c>
      <c r="CO8" s="22"/>
      <c r="CP8" s="22"/>
      <c r="CQ8" s="22"/>
      <c r="CR8" s="22"/>
      <c r="CS8" s="22"/>
      <c r="CT8" s="22"/>
      <c r="CU8" s="22"/>
      <c r="CV8" s="209"/>
      <c r="CX8" s="219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125">
        <v>4.1666666666666664E-2</v>
      </c>
      <c r="EC8" s="241">
        <f>IF('Temperature Profiles'!AA7&gt;17,(0.0043*('Temperature Profiles'!AA7^2)-0.1116*'Temperature Profiles'!AA7+0.6576)*1000,IF('Temperature Profiles'!AA7&lt;17,(0.0053*('Temperature Profiles'!AA7^2)-0.1876*'Temperature Profiles'!AA7+1.7649)*1000,0))</f>
        <v>1122.4228680555557</v>
      </c>
      <c r="ED8" s="22"/>
      <c r="EE8" s="22"/>
      <c r="EF8" s="22"/>
      <c r="EG8" s="22"/>
      <c r="EH8" s="22"/>
      <c r="EI8" s="125">
        <v>4.1666666666666664E-2</v>
      </c>
      <c r="EJ8" s="243">
        <f>IF('Temperature Profiles'!AF7&gt;17,(0.0043*('Temperature Profiles'!AF7^2)-0.1116*'Temperature Profiles'!AF7+0.6576)*1000,IF('Temperature Profiles'!AF7&lt;17,(0.0053*('Temperature Profiles'!AF7^2)-0.1876*'Temperature Profiles'!AF7+1.7649)*1000,0))</f>
        <v>1073.3852986111115</v>
      </c>
      <c r="EK8" s="22"/>
      <c r="EL8" s="22"/>
      <c r="EM8" s="22"/>
      <c r="EN8" s="22"/>
      <c r="EO8" s="22"/>
      <c r="EP8" s="22"/>
      <c r="EQ8" s="22"/>
      <c r="ER8" s="209"/>
    </row>
    <row r="9" spans="1:148" x14ac:dyDescent="0.3">
      <c r="A9" s="123">
        <v>4.1666666666666664E-2</v>
      </c>
      <c r="B9" s="259">
        <f t="shared" si="0"/>
        <v>0</v>
      </c>
      <c r="C9" s="22">
        <f t="shared" si="1"/>
        <v>0</v>
      </c>
      <c r="D9" s="21">
        <f t="shared" si="2"/>
        <v>0</v>
      </c>
      <c r="F9" s="219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14"/>
      <c r="AI9" s="22"/>
      <c r="AJ9" s="125">
        <v>5.2083333333333336E-2</v>
      </c>
      <c r="AK9" s="233">
        <f>IF('Temperature Profiles'!AA8&gt;17,(0.005*('Temperature Profiles'!AA8^2) - 0.1517*'Temperature Profiles'!AA8 + 1.1701)*1000,0)</f>
        <v>0</v>
      </c>
      <c r="AL9" s="22"/>
      <c r="AM9" s="22"/>
      <c r="AN9" s="22"/>
      <c r="AO9" s="22"/>
      <c r="AP9" s="22"/>
      <c r="AQ9" s="125">
        <v>5.2083333333333336E-2</v>
      </c>
      <c r="AR9" s="211">
        <f>IF('Temperature Profiles'!AF8&gt;17,(0.005*('Temperature Profiles'!AF8^2) - 0.1517*'Temperature Profiles'!AF8 + 1.1702)*1000,0)</f>
        <v>885.92222222222313</v>
      </c>
      <c r="AS9" s="22"/>
      <c r="AT9" s="22"/>
      <c r="AU9" s="22"/>
      <c r="AV9" s="22"/>
      <c r="AW9" s="22"/>
      <c r="AX9" s="22"/>
      <c r="AY9" s="22"/>
      <c r="AZ9" s="209"/>
      <c r="BB9" s="219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125">
        <v>5.2083333333333336E-2</v>
      </c>
      <c r="CG9" s="206">
        <f>IF('Temperature Profiles'!AA8&lt;17,(-0.0076*'Temperature Profiles'!AA8+0.1245)*1000,0)</f>
        <v>100.05333333333333</v>
      </c>
      <c r="CH9" s="22"/>
      <c r="CI9" s="22"/>
      <c r="CJ9" s="22"/>
      <c r="CK9" s="22"/>
      <c r="CL9" s="22"/>
      <c r="CM9" s="125">
        <v>5.2083333333333336E-2</v>
      </c>
      <c r="CN9" s="206">
        <f>IF('Temperature Profiles'!AF8&lt;17,(-0.0076*'Temperature Profiles'!AF8+0.1245)*1000,0)</f>
        <v>0</v>
      </c>
      <c r="CO9" s="22"/>
      <c r="CP9" s="22"/>
      <c r="CQ9" s="22"/>
      <c r="CR9" s="22"/>
      <c r="CS9" s="22"/>
      <c r="CT9" s="22"/>
      <c r="CU9" s="22"/>
      <c r="CV9" s="209"/>
      <c r="CX9" s="219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125">
        <v>5.2083333333333336E-2</v>
      </c>
      <c r="EC9" s="241">
        <f>IF('Temperature Profiles'!AA8&gt;17,(0.0043*('Temperature Profiles'!AA8^2)-0.1116*'Temperature Profiles'!AA8+0.6576)*1000,IF('Temperature Profiles'!AA8&lt;17,(0.0053*('Temperature Profiles'!AA8^2)-0.1876*'Temperature Profiles'!AA8+1.7649)*1000,0))</f>
        <v>1216.292138888889</v>
      </c>
      <c r="ED9" s="22"/>
      <c r="EE9" s="22"/>
      <c r="EF9" s="22"/>
      <c r="EG9" s="22"/>
      <c r="EH9" s="22"/>
      <c r="EI9" s="125">
        <v>5.2083333333333336E-2</v>
      </c>
      <c r="EJ9" s="243">
        <f>IF('Temperature Profiles'!AF8&gt;17,(0.0043*('Temperature Profiles'!AF8^2)-0.1116*'Temperature Profiles'!AF8+0.6576)*1000,IF('Temperature Profiles'!AF8&lt;17,(0.0053*('Temperature Profiles'!AF8^2)-0.1876*'Temperature Profiles'!AF8+1.7649)*1000,0))</f>
        <v>947.54444444444493</v>
      </c>
      <c r="EK9" s="22"/>
      <c r="EL9" s="22"/>
      <c r="EM9" s="22"/>
      <c r="EN9" s="22"/>
      <c r="EO9" s="22"/>
      <c r="EP9" s="22"/>
      <c r="EQ9" s="22"/>
      <c r="ER9" s="209"/>
    </row>
    <row r="10" spans="1:148" x14ac:dyDescent="0.3">
      <c r="A10" s="123">
        <v>5.2083333333333336E-2</v>
      </c>
      <c r="B10" s="259">
        <f t="shared" si="0"/>
        <v>0</v>
      </c>
      <c r="C10" s="22">
        <f t="shared" si="1"/>
        <v>0</v>
      </c>
      <c r="D10" s="21">
        <f t="shared" si="2"/>
        <v>0</v>
      </c>
      <c r="F10" s="219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125">
        <v>6.25E-2</v>
      </c>
      <c r="AK10" s="233">
        <f>IF('Temperature Profiles'!AA9&gt;17,(0.005*('Temperature Profiles'!AA9^2) - 0.1517*'Temperature Profiles'!AA9 + 1.1701)*1000,0)</f>
        <v>0</v>
      </c>
      <c r="AL10" s="22"/>
      <c r="AM10" s="22"/>
      <c r="AN10" s="22"/>
      <c r="AO10" s="22"/>
      <c r="AP10" s="22"/>
      <c r="AQ10" s="125">
        <v>6.25E-2</v>
      </c>
      <c r="AR10" s="211">
        <f>IF('Temperature Profiles'!AF9&gt;17,(0.005*('Temperature Profiles'!AF9^2) - 0.1517*'Temperature Profiles'!AF9 + 1.1702)*1000,0)</f>
        <v>885.92222222222313</v>
      </c>
      <c r="AS10" s="22"/>
      <c r="AT10" s="22"/>
      <c r="AU10" s="22"/>
      <c r="AV10" s="22"/>
      <c r="AW10" s="22"/>
      <c r="AX10" s="22"/>
      <c r="AY10" s="22"/>
      <c r="AZ10" s="209"/>
      <c r="BB10" s="219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125">
        <v>6.25E-2</v>
      </c>
      <c r="CG10" s="206">
        <f>IF('Temperature Profiles'!AA9&lt;17,(-0.0076*'Temperature Profiles'!AA9+0.1245)*1000,0)</f>
        <v>100.05333333333333</v>
      </c>
      <c r="CH10" s="22"/>
      <c r="CI10" s="22"/>
      <c r="CJ10" s="22"/>
      <c r="CK10" s="22"/>
      <c r="CL10" s="22"/>
      <c r="CM10" s="125">
        <v>6.25E-2</v>
      </c>
      <c r="CN10" s="206">
        <f>IF('Temperature Profiles'!AF9&lt;17,(-0.0076*'Temperature Profiles'!AF9+0.1245)*1000,0)</f>
        <v>0</v>
      </c>
      <c r="CO10" s="22"/>
      <c r="CP10" s="22"/>
      <c r="CQ10" s="22"/>
      <c r="CR10" s="22"/>
      <c r="CS10" s="22"/>
      <c r="CT10" s="22"/>
      <c r="CU10" s="22"/>
      <c r="CV10" s="209"/>
      <c r="CX10" s="219"/>
      <c r="CY10" s="22"/>
      <c r="CZ10" s="22"/>
      <c r="DA10" s="22"/>
      <c r="DB10" s="22"/>
      <c r="DC10" s="22"/>
      <c r="DD10" s="22"/>
      <c r="DE10" s="22"/>
      <c r="DF10" s="22"/>
      <c r="DG10" s="22"/>
      <c r="DH10" s="22"/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22"/>
      <c r="DZ10" s="22"/>
      <c r="EA10" s="22"/>
      <c r="EB10" s="125">
        <v>6.25E-2</v>
      </c>
      <c r="EC10" s="241">
        <f>IF('Temperature Profiles'!AA9&gt;17,(0.0043*('Temperature Profiles'!AA9^2)-0.1116*'Temperature Profiles'!AA9+0.6576)*1000,IF('Temperature Profiles'!AA9&lt;17,(0.0053*('Temperature Profiles'!AA9^2)-0.1876*'Temperature Profiles'!AA9+1.7649)*1000,0))</f>
        <v>1216.292138888889</v>
      </c>
      <c r="ED10" s="22"/>
      <c r="EE10" s="22"/>
      <c r="EF10" s="22"/>
      <c r="EG10" s="22"/>
      <c r="EH10" s="22"/>
      <c r="EI10" s="125">
        <v>6.25E-2</v>
      </c>
      <c r="EJ10" s="243">
        <f>IF('Temperature Profiles'!AF9&gt;17,(0.0043*('Temperature Profiles'!AF9^2)-0.1116*'Temperature Profiles'!AF9+0.6576)*1000,IF('Temperature Profiles'!AF9&lt;17,(0.0053*('Temperature Profiles'!AF9^2)-0.1876*'Temperature Profiles'!AF9+1.7649)*1000,0))</f>
        <v>947.54444444444493</v>
      </c>
      <c r="EK10" s="22"/>
      <c r="EL10" s="22"/>
      <c r="EM10" s="22"/>
      <c r="EN10" s="22"/>
      <c r="EO10" s="22"/>
      <c r="EP10" s="22"/>
      <c r="EQ10" s="22"/>
      <c r="ER10" s="209"/>
    </row>
    <row r="11" spans="1:148" x14ac:dyDescent="0.3">
      <c r="A11" s="123">
        <v>6.25E-2</v>
      </c>
      <c r="B11" s="259">
        <f t="shared" si="0"/>
        <v>0</v>
      </c>
      <c r="C11" s="22">
        <f t="shared" si="1"/>
        <v>0</v>
      </c>
      <c r="D11" s="21">
        <f t="shared" si="2"/>
        <v>0</v>
      </c>
      <c r="F11" s="219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125">
        <v>7.2916666666666671E-2</v>
      </c>
      <c r="AK11" s="233">
        <f>IF('Temperature Profiles'!AA10&gt;17,(0.005*('Temperature Profiles'!AA10^2) - 0.1517*'Temperature Profiles'!AA10 + 1.1701)*1000,0)</f>
        <v>0</v>
      </c>
      <c r="AL11" s="22"/>
      <c r="AM11" s="22"/>
      <c r="AN11" s="22"/>
      <c r="AO11" s="22"/>
      <c r="AP11" s="22"/>
      <c r="AQ11" s="125">
        <v>7.2916666666666671E-2</v>
      </c>
      <c r="AR11" s="211">
        <f>IF('Temperature Profiles'!AF10&gt;17,(0.005*('Temperature Profiles'!AF10^2) - 0.1517*'Temperature Profiles'!AF10 + 1.1702)*1000,0)</f>
        <v>885.92222222222313</v>
      </c>
      <c r="AS11" s="22"/>
      <c r="AT11" s="22"/>
      <c r="AU11" s="22"/>
      <c r="AV11" s="22"/>
      <c r="AW11" s="22"/>
      <c r="AX11" s="22"/>
      <c r="AY11" s="22"/>
      <c r="AZ11" s="209"/>
      <c r="BB11" s="219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125">
        <v>7.2916666666666671E-2</v>
      </c>
      <c r="CG11" s="206">
        <f>IF('Temperature Profiles'!AA10&lt;17,(-0.0076*'Temperature Profiles'!AA10+0.1245)*1000,0)</f>
        <v>100.05333333333333</v>
      </c>
      <c r="CH11" s="22"/>
      <c r="CI11" s="22"/>
      <c r="CJ11" s="22"/>
      <c r="CK11" s="22"/>
      <c r="CL11" s="22"/>
      <c r="CM11" s="125">
        <v>7.2916666666666671E-2</v>
      </c>
      <c r="CN11" s="206">
        <f>IF('Temperature Profiles'!AF10&lt;17,(-0.0076*'Temperature Profiles'!AF10+0.1245)*1000,0)</f>
        <v>0</v>
      </c>
      <c r="CO11" s="22"/>
      <c r="CP11" s="22"/>
      <c r="CQ11" s="22"/>
      <c r="CR11" s="22"/>
      <c r="CS11" s="22"/>
      <c r="CT11" s="22"/>
      <c r="CU11" s="22"/>
      <c r="CV11" s="209"/>
      <c r="CX11" s="219"/>
      <c r="CY11" s="22"/>
      <c r="CZ11" s="22"/>
      <c r="DA11" s="22"/>
      <c r="DB11" s="22"/>
      <c r="DC11" s="22"/>
      <c r="DD11" s="22"/>
      <c r="DE11" s="22"/>
      <c r="DF11" s="22"/>
      <c r="DG11" s="22"/>
      <c r="DH11" s="22"/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22"/>
      <c r="DZ11" s="22"/>
      <c r="EA11" s="22"/>
      <c r="EB11" s="125">
        <v>7.2916666666666671E-2</v>
      </c>
      <c r="EC11" s="241">
        <f>IF('Temperature Profiles'!AA10&gt;17,(0.0043*('Temperature Profiles'!AA10^2)-0.1116*'Temperature Profiles'!AA10+0.6576)*1000,IF('Temperature Profiles'!AA10&lt;17,(0.0053*('Temperature Profiles'!AA10^2)-0.1876*'Temperature Profiles'!AA10+1.7649)*1000,0))</f>
        <v>1216.292138888889</v>
      </c>
      <c r="ED11" s="22"/>
      <c r="EE11" s="22"/>
      <c r="EF11" s="22"/>
      <c r="EG11" s="22"/>
      <c r="EH11" s="22"/>
      <c r="EI11" s="125">
        <v>7.2916666666666671E-2</v>
      </c>
      <c r="EJ11" s="243">
        <f>IF('Temperature Profiles'!AF10&gt;17,(0.0043*('Temperature Profiles'!AF10^2)-0.1116*'Temperature Profiles'!AF10+0.6576)*1000,IF('Temperature Profiles'!AF10&lt;17,(0.0053*('Temperature Profiles'!AF10^2)-0.1876*'Temperature Profiles'!AF10+1.7649)*1000,0))</f>
        <v>947.54444444444493</v>
      </c>
      <c r="EK11" s="22"/>
      <c r="EL11" s="22"/>
      <c r="EM11" s="22"/>
      <c r="EN11" s="22"/>
      <c r="EO11" s="22"/>
      <c r="EP11" s="22"/>
      <c r="EQ11" s="22"/>
      <c r="ER11" s="209"/>
    </row>
    <row r="12" spans="1:148" x14ac:dyDescent="0.3">
      <c r="A12" s="123">
        <v>7.2916666666666671E-2</v>
      </c>
      <c r="B12" s="259">
        <f t="shared" si="0"/>
        <v>0</v>
      </c>
      <c r="C12" s="22">
        <f t="shared" si="1"/>
        <v>0</v>
      </c>
      <c r="D12" s="21">
        <f t="shared" si="2"/>
        <v>0</v>
      </c>
      <c r="F12" s="219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125">
        <v>8.3333333333333329E-2</v>
      </c>
      <c r="AK12" s="233">
        <f>IF('Temperature Profiles'!AA11&gt;17,(0.005*('Temperature Profiles'!AA11^2) - 0.1517*'Temperature Profiles'!AA11 + 1.1701)*1000,0)</f>
        <v>0</v>
      </c>
      <c r="AL12" s="22"/>
      <c r="AM12" s="22"/>
      <c r="AN12" s="22"/>
      <c r="AO12" s="22"/>
      <c r="AP12" s="22"/>
      <c r="AQ12" s="125">
        <v>8.3333333333333329E-2</v>
      </c>
      <c r="AR12" s="211">
        <f>IF('Temperature Profiles'!AF11&gt;17,(0.005*('Temperature Profiles'!AF11^2) - 0.1517*'Temperature Profiles'!AF11 + 1.1702)*1000,0)</f>
        <v>885.92222222222313</v>
      </c>
      <c r="AS12" s="22"/>
      <c r="AT12" s="22"/>
      <c r="AU12" s="22"/>
      <c r="AV12" s="22"/>
      <c r="AW12" s="22"/>
      <c r="AX12" s="22"/>
      <c r="AY12" s="22"/>
      <c r="AZ12" s="209"/>
      <c r="BB12" s="219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125">
        <v>8.3333333333333329E-2</v>
      </c>
      <c r="CG12" s="206">
        <f>IF('Temperature Profiles'!AA11&lt;17,(-0.0076*'Temperature Profiles'!AA11+0.1245)*1000,0)</f>
        <v>100.05333333333333</v>
      </c>
      <c r="CH12" s="22"/>
      <c r="CI12" s="22"/>
      <c r="CJ12" s="22"/>
      <c r="CK12" s="22"/>
      <c r="CL12" s="22"/>
      <c r="CM12" s="125">
        <v>8.3333333333333329E-2</v>
      </c>
      <c r="CN12" s="206">
        <f>IF('Temperature Profiles'!AF11&lt;17,(-0.0076*'Temperature Profiles'!AF11+0.1245)*1000,0)</f>
        <v>0</v>
      </c>
      <c r="CO12" s="22"/>
      <c r="CP12" s="22"/>
      <c r="CQ12" s="22"/>
      <c r="CR12" s="22"/>
      <c r="CS12" s="22"/>
      <c r="CT12" s="22"/>
      <c r="CU12" s="22"/>
      <c r="CV12" s="209"/>
      <c r="CX12" s="219"/>
      <c r="CY12" s="22"/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22"/>
      <c r="DZ12" s="22"/>
      <c r="EA12" s="22"/>
      <c r="EB12" s="125">
        <v>8.3333333333333329E-2</v>
      </c>
      <c r="EC12" s="241">
        <f>IF('Temperature Profiles'!AA11&gt;17,(0.0043*('Temperature Profiles'!AA11^2)-0.1116*'Temperature Profiles'!AA11+0.6576)*1000,IF('Temperature Profiles'!AA11&lt;17,(0.0053*('Temperature Profiles'!AA11^2)-0.1876*'Temperature Profiles'!AA11+1.7649)*1000,0))</f>
        <v>1216.292138888889</v>
      </c>
      <c r="ED12" s="22"/>
      <c r="EE12" s="22"/>
      <c r="EF12" s="22"/>
      <c r="EG12" s="22"/>
      <c r="EH12" s="22"/>
      <c r="EI12" s="125">
        <v>8.3333333333333329E-2</v>
      </c>
      <c r="EJ12" s="243">
        <f>IF('Temperature Profiles'!AF11&gt;17,(0.0043*('Temperature Profiles'!AF11^2)-0.1116*'Temperature Profiles'!AF11+0.6576)*1000,IF('Temperature Profiles'!AF11&lt;17,(0.0053*('Temperature Profiles'!AF11^2)-0.1876*'Temperature Profiles'!AF11+1.7649)*1000,0))</f>
        <v>947.54444444444493</v>
      </c>
      <c r="EK12" s="22"/>
      <c r="EL12" s="22"/>
      <c r="EM12" s="22"/>
      <c r="EN12" s="22"/>
      <c r="EO12" s="22"/>
      <c r="EP12" s="22"/>
      <c r="EQ12" s="22"/>
      <c r="ER12" s="209"/>
    </row>
    <row r="13" spans="1:148" x14ac:dyDescent="0.3">
      <c r="A13" s="123">
        <v>8.3333333333333329E-2</v>
      </c>
      <c r="B13" s="259">
        <f t="shared" si="0"/>
        <v>0</v>
      </c>
      <c r="C13" s="22">
        <f t="shared" si="1"/>
        <v>0</v>
      </c>
      <c r="D13" s="21">
        <f t="shared" si="2"/>
        <v>0</v>
      </c>
      <c r="F13" s="219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125">
        <v>9.375E-2</v>
      </c>
      <c r="AK13" s="233">
        <f>IF('Temperature Profiles'!AA12&gt;17,(0.005*('Temperature Profiles'!AA12^2) - 0.1517*'Temperature Profiles'!AA12 + 1.1701)*1000,0)</f>
        <v>0</v>
      </c>
      <c r="AL13" s="22"/>
      <c r="AM13" s="22"/>
      <c r="AN13" s="22"/>
      <c r="AO13" s="22"/>
      <c r="AP13" s="22"/>
      <c r="AQ13" s="125">
        <v>9.375E-2</v>
      </c>
      <c r="AR13" s="211">
        <f>IF('Temperature Profiles'!AF12&gt;17,(0.005*('Temperature Profiles'!AF12^2) - 0.1517*'Temperature Profiles'!AF12 + 1.1702)*1000,0)</f>
        <v>666.12951388888939</v>
      </c>
      <c r="AS13" s="22"/>
      <c r="AT13" s="22"/>
      <c r="AU13" s="22"/>
      <c r="AV13" s="22"/>
      <c r="AW13" s="22"/>
      <c r="AX13" s="22"/>
      <c r="AY13" s="22"/>
      <c r="AZ13" s="209"/>
      <c r="BB13" s="219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125">
        <v>9.375E-2</v>
      </c>
      <c r="CG13" s="206">
        <f>IF('Temperature Profiles'!AA12&lt;17,(-0.0076*'Temperature Profiles'!AA12+0.1245)*1000,0)</f>
        <v>104.10666666666667</v>
      </c>
      <c r="CH13" s="22"/>
      <c r="CI13" s="22"/>
      <c r="CJ13" s="22"/>
      <c r="CK13" s="22"/>
      <c r="CL13" s="22"/>
      <c r="CM13" s="125">
        <v>9.375E-2</v>
      </c>
      <c r="CN13" s="206">
        <f>IF('Temperature Profiles'!AF12&lt;17,(-0.0076*'Temperature Profiles'!AF12+0.1245)*1000,0)</f>
        <v>0</v>
      </c>
      <c r="CO13" s="22"/>
      <c r="CP13" s="22"/>
      <c r="CQ13" s="22"/>
      <c r="CR13" s="22"/>
      <c r="CS13" s="22"/>
      <c r="CT13" s="22"/>
      <c r="CU13" s="22"/>
      <c r="CV13" s="209"/>
      <c r="CX13" s="219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22"/>
      <c r="DZ13" s="22"/>
      <c r="EA13" s="22"/>
      <c r="EB13" s="125">
        <v>9.375E-2</v>
      </c>
      <c r="EC13" s="241">
        <f>IF('Temperature Profiles'!AA12&gt;17,(0.0043*('Temperature Profiles'!AA12^2)-0.1116*'Temperature Profiles'!AA12+0.6576)*1000,IF('Temperature Profiles'!AA12&lt;17,(0.0053*('Temperature Profiles'!AA12^2)-0.1876*'Temperature Profiles'!AA12+1.7649)*1000,0))</f>
        <v>1299.668138888889</v>
      </c>
      <c r="ED13" s="22"/>
      <c r="EE13" s="22"/>
      <c r="EF13" s="22"/>
      <c r="EG13" s="22"/>
      <c r="EH13" s="22"/>
      <c r="EI13" s="125">
        <v>9.375E-2</v>
      </c>
      <c r="EJ13" s="243">
        <f>IF('Temperature Profiles'!AF12&gt;17,(0.0043*('Temperature Profiles'!AF12^2)-0.1116*'Temperature Profiles'!AF12+0.6576)*1000,IF('Temperature Profiles'!AF12&lt;17,(0.0053*('Temperature Profiles'!AF12^2)-0.1876*'Temperature Profiles'!AF12+1.7649)*1000,0))</f>
        <v>724.72829861111165</v>
      </c>
      <c r="EK13" s="22"/>
      <c r="EL13" s="22"/>
      <c r="EM13" s="22"/>
      <c r="EN13" s="22"/>
      <c r="EO13" s="22"/>
      <c r="EP13" s="22"/>
      <c r="EQ13" s="22"/>
      <c r="ER13" s="209"/>
    </row>
    <row r="14" spans="1:148" x14ac:dyDescent="0.3">
      <c r="A14" s="123">
        <v>9.375E-2</v>
      </c>
      <c r="B14" s="259">
        <f t="shared" si="0"/>
        <v>0</v>
      </c>
      <c r="C14" s="22">
        <f t="shared" si="1"/>
        <v>0</v>
      </c>
      <c r="D14" s="21">
        <f t="shared" si="2"/>
        <v>0</v>
      </c>
      <c r="F14" s="219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125">
        <v>0.10416666666666667</v>
      </c>
      <c r="AK14" s="233">
        <f>IF('Temperature Profiles'!AA13&gt;17,(0.005*('Temperature Profiles'!AA13^2) - 0.1517*'Temperature Profiles'!AA13 + 1.1701)*1000,0)</f>
        <v>0</v>
      </c>
      <c r="AL14" s="22"/>
      <c r="AM14" s="22"/>
      <c r="AN14" s="22"/>
      <c r="AO14" s="22"/>
      <c r="AP14" s="22"/>
      <c r="AQ14" s="125">
        <v>0.10416666666666667</v>
      </c>
      <c r="AR14" s="211">
        <f>IF('Temperature Profiles'!AF13&gt;17,(0.005*('Temperature Profiles'!AF13^2) - 0.1517*'Temperature Profiles'!AF13 + 1.1702)*1000,0)</f>
        <v>666.12951388888939</v>
      </c>
      <c r="AS14" s="22"/>
      <c r="AT14" s="22"/>
      <c r="AU14" s="22"/>
      <c r="AV14" s="22"/>
      <c r="AW14" s="22"/>
      <c r="AX14" s="22"/>
      <c r="AY14" s="22"/>
      <c r="AZ14" s="209"/>
      <c r="BB14" s="219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125">
        <v>0.10416666666666667</v>
      </c>
      <c r="CG14" s="206">
        <f>IF('Temperature Profiles'!AA13&lt;17,(-0.0076*'Temperature Profiles'!AA13+0.1245)*1000,0)</f>
        <v>104.10666666666667</v>
      </c>
      <c r="CH14" s="22"/>
      <c r="CI14" s="22"/>
      <c r="CJ14" s="22"/>
      <c r="CK14" s="22"/>
      <c r="CL14" s="22"/>
      <c r="CM14" s="125">
        <v>0.10416666666666667</v>
      </c>
      <c r="CN14" s="206">
        <f>IF('Temperature Profiles'!AF13&lt;17,(-0.0076*'Temperature Profiles'!AF13+0.1245)*1000,0)</f>
        <v>0</v>
      </c>
      <c r="CO14" s="22"/>
      <c r="CP14" s="22"/>
      <c r="CQ14" s="22"/>
      <c r="CR14" s="22"/>
      <c r="CS14" s="22"/>
      <c r="CT14" s="22"/>
      <c r="CU14" s="22"/>
      <c r="CV14" s="209"/>
      <c r="CX14" s="219"/>
      <c r="CY14" s="22"/>
      <c r="CZ14" s="22"/>
      <c r="DA14" s="22"/>
      <c r="DB14" s="22"/>
      <c r="DC14" s="22"/>
      <c r="DD14" s="22"/>
      <c r="DE14" s="22"/>
      <c r="DF14" s="22"/>
      <c r="DG14" s="22"/>
      <c r="DH14" s="22"/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22"/>
      <c r="DZ14" s="22"/>
      <c r="EA14" s="22"/>
      <c r="EB14" s="125">
        <v>0.10416666666666667</v>
      </c>
      <c r="EC14" s="241">
        <f>IF('Temperature Profiles'!AA13&gt;17,(0.0043*('Temperature Profiles'!AA13^2)-0.1116*'Temperature Profiles'!AA13+0.6576)*1000,IF('Temperature Profiles'!AA13&lt;17,(0.0053*('Temperature Profiles'!AA13^2)-0.1876*'Temperature Profiles'!AA13+1.7649)*1000,0))</f>
        <v>1299.668138888889</v>
      </c>
      <c r="ED14" s="22"/>
      <c r="EE14" s="22"/>
      <c r="EF14" s="22"/>
      <c r="EG14" s="22"/>
      <c r="EH14" s="22"/>
      <c r="EI14" s="125">
        <v>0.10416666666666667</v>
      </c>
      <c r="EJ14" s="243">
        <f>IF('Temperature Profiles'!AF13&gt;17,(0.0043*('Temperature Profiles'!AF13^2)-0.1116*'Temperature Profiles'!AF13+0.6576)*1000,IF('Temperature Profiles'!AF13&lt;17,(0.0053*('Temperature Profiles'!AF13^2)-0.1876*'Temperature Profiles'!AF13+1.7649)*1000,0))</f>
        <v>724.72829861111165</v>
      </c>
      <c r="EK14" s="22"/>
      <c r="EL14" s="22"/>
      <c r="EM14" s="22"/>
      <c r="EN14" s="22"/>
      <c r="EO14" s="22"/>
      <c r="EP14" s="22"/>
      <c r="EQ14" s="22"/>
      <c r="ER14" s="209"/>
    </row>
    <row r="15" spans="1:148" x14ac:dyDescent="0.3">
      <c r="A15" s="123">
        <v>0.10416666666666667</v>
      </c>
      <c r="B15" s="259">
        <f t="shared" si="0"/>
        <v>0</v>
      </c>
      <c r="C15" s="22">
        <f t="shared" si="1"/>
        <v>0</v>
      </c>
      <c r="D15" s="21">
        <f t="shared" si="2"/>
        <v>0</v>
      </c>
      <c r="F15" s="219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125">
        <v>0.11458333333333333</v>
      </c>
      <c r="AK15" s="233">
        <f>IF('Temperature Profiles'!AA14&gt;17,(0.005*('Temperature Profiles'!AA14^2) - 0.1517*'Temperature Profiles'!AA14 + 1.1701)*1000,0)</f>
        <v>0</v>
      </c>
      <c r="AL15" s="22"/>
      <c r="AM15" s="22"/>
      <c r="AN15" s="22"/>
      <c r="AO15" s="22"/>
      <c r="AP15" s="22"/>
      <c r="AQ15" s="125">
        <v>0.11458333333333333</v>
      </c>
      <c r="AR15" s="211">
        <f>IF('Temperature Profiles'!AF14&gt;17,(0.005*('Temperature Profiles'!AF14^2) - 0.1517*'Temperature Profiles'!AF14 + 1.1702)*1000,0)</f>
        <v>666.12951388888939</v>
      </c>
      <c r="AS15" s="22"/>
      <c r="AT15" s="22"/>
      <c r="AU15" s="22"/>
      <c r="AV15" s="22"/>
      <c r="AW15" s="22"/>
      <c r="AX15" s="22"/>
      <c r="AY15" s="22"/>
      <c r="AZ15" s="209"/>
      <c r="BB15" s="219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125">
        <v>0.11458333333333333</v>
      </c>
      <c r="CG15" s="206">
        <f>IF('Temperature Profiles'!AA14&lt;17,(-0.0076*'Temperature Profiles'!AA14+0.1245)*1000,0)</f>
        <v>104.10666666666667</v>
      </c>
      <c r="CH15" s="22"/>
      <c r="CI15" s="22"/>
      <c r="CJ15" s="22"/>
      <c r="CK15" s="22"/>
      <c r="CL15" s="22"/>
      <c r="CM15" s="125">
        <v>0.11458333333333333</v>
      </c>
      <c r="CN15" s="206">
        <f>IF('Temperature Profiles'!AF14&lt;17,(-0.0076*'Temperature Profiles'!AF14+0.1245)*1000,0)</f>
        <v>0</v>
      </c>
      <c r="CO15" s="22"/>
      <c r="CP15" s="22"/>
      <c r="CQ15" s="22"/>
      <c r="CR15" s="22"/>
      <c r="CS15" s="22"/>
      <c r="CT15" s="22"/>
      <c r="CU15" s="22"/>
      <c r="CV15" s="209"/>
      <c r="CX15" s="219"/>
      <c r="CY15" s="22"/>
      <c r="CZ15" s="22"/>
      <c r="DA15" s="22"/>
      <c r="DB15" s="22"/>
      <c r="DC15" s="22"/>
      <c r="DD15" s="22"/>
      <c r="DE15" s="22"/>
      <c r="DF15" s="22"/>
      <c r="DG15" s="22"/>
      <c r="DH15" s="22"/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22"/>
      <c r="DZ15" s="22"/>
      <c r="EA15" s="22"/>
      <c r="EB15" s="125">
        <v>0.11458333333333333</v>
      </c>
      <c r="EC15" s="241">
        <f>IF('Temperature Profiles'!AA14&gt;17,(0.0043*('Temperature Profiles'!AA14^2)-0.1116*'Temperature Profiles'!AA14+0.6576)*1000,IF('Temperature Profiles'!AA14&lt;17,(0.0053*('Temperature Profiles'!AA14^2)-0.1876*'Temperature Profiles'!AA14+1.7649)*1000,0))</f>
        <v>1299.668138888889</v>
      </c>
      <c r="ED15" s="22"/>
      <c r="EE15" s="22"/>
      <c r="EF15" s="22"/>
      <c r="EG15" s="22"/>
      <c r="EH15" s="22"/>
      <c r="EI15" s="125">
        <v>0.11458333333333333</v>
      </c>
      <c r="EJ15" s="243">
        <f>IF('Temperature Profiles'!AF14&gt;17,(0.0043*('Temperature Profiles'!AF14^2)-0.1116*'Temperature Profiles'!AF14+0.6576)*1000,IF('Temperature Profiles'!AF14&lt;17,(0.0053*('Temperature Profiles'!AF14^2)-0.1876*'Temperature Profiles'!AF14+1.7649)*1000,0))</f>
        <v>724.72829861111165</v>
      </c>
      <c r="EK15" s="22"/>
      <c r="EL15" s="22"/>
      <c r="EM15" s="22"/>
      <c r="EN15" s="22"/>
      <c r="EO15" s="22"/>
      <c r="EP15" s="22"/>
      <c r="EQ15" s="22"/>
      <c r="ER15" s="209"/>
    </row>
    <row r="16" spans="1:148" x14ac:dyDescent="0.3">
      <c r="A16" s="123">
        <v>0.11458333333333333</v>
      </c>
      <c r="B16" s="259">
        <f t="shared" si="0"/>
        <v>0</v>
      </c>
      <c r="C16" s="22">
        <f t="shared" si="1"/>
        <v>0</v>
      </c>
      <c r="D16" s="21">
        <f t="shared" si="2"/>
        <v>0</v>
      </c>
      <c r="F16" s="219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125">
        <v>0.125</v>
      </c>
      <c r="AK16" s="233">
        <f>IF('Temperature Profiles'!AA15&gt;17,(0.005*('Temperature Profiles'!AA15^2) - 0.1517*'Temperature Profiles'!AA15 + 1.1701)*1000,0)</f>
        <v>0</v>
      </c>
      <c r="AL16" s="22"/>
      <c r="AM16" s="22"/>
      <c r="AN16" s="22"/>
      <c r="AO16" s="22"/>
      <c r="AP16" s="22"/>
      <c r="AQ16" s="125">
        <v>0.125</v>
      </c>
      <c r="AR16" s="211">
        <f>IF('Temperature Profiles'!AF15&gt;17,(0.005*('Temperature Profiles'!AF15^2) - 0.1517*'Temperature Profiles'!AF15 + 1.1702)*1000,0)</f>
        <v>666.12951388888939</v>
      </c>
      <c r="AS16" s="22"/>
      <c r="AT16" s="22"/>
      <c r="AU16" s="22"/>
      <c r="AV16" s="22"/>
      <c r="AW16" s="22"/>
      <c r="AX16" s="22"/>
      <c r="AY16" s="22"/>
      <c r="AZ16" s="209"/>
      <c r="BB16" s="219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125">
        <v>0.125</v>
      </c>
      <c r="CG16" s="206">
        <f>IF('Temperature Profiles'!AA15&lt;17,(-0.0076*'Temperature Profiles'!AA15+0.1245)*1000,0)</f>
        <v>104.10666666666667</v>
      </c>
      <c r="CH16" s="22"/>
      <c r="CI16" s="22"/>
      <c r="CJ16" s="22"/>
      <c r="CK16" s="22"/>
      <c r="CL16" s="22"/>
      <c r="CM16" s="125">
        <v>0.125</v>
      </c>
      <c r="CN16" s="206">
        <f>IF('Temperature Profiles'!AF15&lt;17,(-0.0076*'Temperature Profiles'!AF15+0.1245)*1000,0)</f>
        <v>0</v>
      </c>
      <c r="CO16" s="22"/>
      <c r="CP16" s="22"/>
      <c r="CQ16" s="22"/>
      <c r="CR16" s="22"/>
      <c r="CS16" s="22"/>
      <c r="CT16" s="22"/>
      <c r="CU16" s="22"/>
      <c r="CV16" s="209"/>
      <c r="CX16" s="219"/>
      <c r="CY16" s="22"/>
      <c r="CZ16" s="22"/>
      <c r="DA16" s="22"/>
      <c r="DB16" s="22"/>
      <c r="DC16" s="22"/>
      <c r="DD16" s="22"/>
      <c r="DE16" s="22"/>
      <c r="DF16" s="22"/>
      <c r="DG16" s="22"/>
      <c r="DH16" s="22"/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22"/>
      <c r="DZ16" s="22"/>
      <c r="EA16" s="22"/>
      <c r="EB16" s="125">
        <v>0.125</v>
      </c>
      <c r="EC16" s="241">
        <f>IF('Temperature Profiles'!AA15&gt;17,(0.0043*('Temperature Profiles'!AA15^2)-0.1116*'Temperature Profiles'!AA15+0.6576)*1000,IF('Temperature Profiles'!AA15&lt;17,(0.0053*('Temperature Profiles'!AA15^2)-0.1876*'Temperature Profiles'!AA15+1.7649)*1000,0))</f>
        <v>1299.668138888889</v>
      </c>
      <c r="ED16" s="22"/>
      <c r="EE16" s="22"/>
      <c r="EF16" s="22"/>
      <c r="EG16" s="22"/>
      <c r="EH16" s="22"/>
      <c r="EI16" s="125">
        <v>0.125</v>
      </c>
      <c r="EJ16" s="243">
        <f>IF('Temperature Profiles'!AF15&gt;17,(0.0043*('Temperature Profiles'!AF15^2)-0.1116*'Temperature Profiles'!AF15+0.6576)*1000,IF('Temperature Profiles'!AF15&lt;17,(0.0053*('Temperature Profiles'!AF15^2)-0.1876*'Temperature Profiles'!AF15+1.7649)*1000,0))</f>
        <v>724.72829861111165</v>
      </c>
      <c r="EK16" s="22"/>
      <c r="EL16" s="22"/>
      <c r="EM16" s="22"/>
      <c r="EN16" s="22"/>
      <c r="EO16" s="22"/>
      <c r="EP16" s="22"/>
      <c r="EQ16" s="22"/>
      <c r="ER16" s="209"/>
    </row>
    <row r="17" spans="1:148" x14ac:dyDescent="0.3">
      <c r="A17" s="123">
        <v>0.125</v>
      </c>
      <c r="B17" s="259">
        <f t="shared" si="0"/>
        <v>0</v>
      </c>
      <c r="C17" s="22">
        <f t="shared" si="1"/>
        <v>0</v>
      </c>
      <c r="D17" s="21">
        <f t="shared" si="2"/>
        <v>0</v>
      </c>
      <c r="F17" s="219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125">
        <v>0.13541666666666666</v>
      </c>
      <c r="AK17" s="233">
        <f>IF('Temperature Profiles'!AA16&gt;17,(0.005*('Temperature Profiles'!AA16^2) - 0.1517*'Temperature Profiles'!AA16 + 1.1701)*1000,0)</f>
        <v>0</v>
      </c>
      <c r="AL17" s="22"/>
      <c r="AM17" s="22"/>
      <c r="AN17" s="22"/>
      <c r="AO17" s="22"/>
      <c r="AP17" s="22"/>
      <c r="AQ17" s="125">
        <v>0.13541666666666666</v>
      </c>
      <c r="AR17" s="211">
        <f>IF('Temperature Profiles'!AF16&gt;17,(0.005*('Temperature Profiles'!AF16^2) - 0.1517*'Temperature Profiles'!AF16 + 1.1702)*1000,0)</f>
        <v>523.39618055555582</v>
      </c>
      <c r="AS17" s="22"/>
      <c r="AT17" s="22"/>
      <c r="AU17" s="22"/>
      <c r="AV17" s="22"/>
      <c r="AW17" s="22"/>
      <c r="AX17" s="22"/>
      <c r="AY17" s="22"/>
      <c r="AZ17" s="209"/>
      <c r="BB17" s="219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125">
        <v>0.13541666666666666</v>
      </c>
      <c r="CG17" s="206">
        <f>IF('Temperature Profiles'!AA16&lt;17,(-0.0076*'Temperature Profiles'!AA16+0.1245)*1000,0)</f>
        <v>111.83333333333334</v>
      </c>
      <c r="CH17" s="22"/>
      <c r="CI17" s="22"/>
      <c r="CJ17" s="22"/>
      <c r="CK17" s="22"/>
      <c r="CL17" s="22"/>
      <c r="CM17" s="125">
        <v>0.13541666666666666</v>
      </c>
      <c r="CN17" s="206">
        <f>IF('Temperature Profiles'!AF16&lt;17,(-0.0076*'Temperature Profiles'!AF16+0.1245)*1000,0)</f>
        <v>0</v>
      </c>
      <c r="CO17" s="22"/>
      <c r="CP17" s="22"/>
      <c r="CQ17" s="22"/>
      <c r="CR17" s="22"/>
      <c r="CS17" s="22"/>
      <c r="CT17" s="22"/>
      <c r="CU17" s="22"/>
      <c r="CV17" s="209"/>
      <c r="CX17" s="219"/>
      <c r="CY17" s="22"/>
      <c r="CZ17" s="22"/>
      <c r="DA17" s="22"/>
      <c r="DB17" s="22"/>
      <c r="DC17" s="22"/>
      <c r="DD17" s="22"/>
      <c r="DE17" s="22"/>
      <c r="DF17" s="22"/>
      <c r="DG17" s="22"/>
      <c r="DH17" s="22"/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22"/>
      <c r="DZ17" s="22"/>
      <c r="EA17" s="22"/>
      <c r="EB17" s="125">
        <v>0.13541666666666666</v>
      </c>
      <c r="EC17" s="241">
        <f>IF('Temperature Profiles'!AA16&gt;17,(0.0043*('Temperature Profiles'!AA16^2)-0.1116*'Temperature Profiles'!AA16+0.6576)*1000,IF('Temperature Profiles'!AA16&lt;17,(0.0053*('Temperature Profiles'!AA16^2)-0.1876*'Temperature Profiles'!AA16+1.7649)*1000,0))</f>
        <v>1466.9555555555555</v>
      </c>
      <c r="ED17" s="22"/>
      <c r="EE17" s="22"/>
      <c r="EF17" s="22"/>
      <c r="EG17" s="22"/>
      <c r="EH17" s="22"/>
      <c r="EI17" s="125">
        <v>0.13541666666666666</v>
      </c>
      <c r="EJ17" s="243">
        <f>IF('Temperature Profiles'!AF16&gt;17,(0.0043*('Temperature Profiles'!AF16^2)-0.1116*'Temperature Profiles'!AF16+0.6576)*1000,IF('Temperature Profiles'!AF16&lt;17,(0.0053*('Temperature Profiles'!AF16^2)-0.1876*'Temperature Profiles'!AF16+1.7649)*1000,0))</f>
        <v>576.82829861111134</v>
      </c>
      <c r="EK17" s="22"/>
      <c r="EL17" s="22"/>
      <c r="EM17" s="22"/>
      <c r="EN17" s="22"/>
      <c r="EO17" s="22"/>
      <c r="EP17" s="22"/>
      <c r="EQ17" s="22"/>
      <c r="ER17" s="209"/>
    </row>
    <row r="18" spans="1:148" x14ac:dyDescent="0.3">
      <c r="A18" s="123">
        <v>0.13541666666666666</v>
      </c>
      <c r="B18" s="259">
        <f t="shared" si="0"/>
        <v>0</v>
      </c>
      <c r="C18" s="22">
        <f t="shared" si="1"/>
        <v>0</v>
      </c>
      <c r="D18" s="21">
        <f t="shared" si="2"/>
        <v>0</v>
      </c>
      <c r="F18" s="219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125">
        <v>0.14583333333333334</v>
      </c>
      <c r="AK18" s="233">
        <f>IF('Temperature Profiles'!AA17&gt;17,(0.005*('Temperature Profiles'!AA17^2) - 0.1517*'Temperature Profiles'!AA17 + 1.1701)*1000,0)</f>
        <v>0</v>
      </c>
      <c r="AL18" s="22"/>
      <c r="AM18" s="22"/>
      <c r="AN18" s="22"/>
      <c r="AO18" s="22"/>
      <c r="AP18" s="22"/>
      <c r="AQ18" s="125">
        <v>0.14583333333333334</v>
      </c>
      <c r="AR18" s="211">
        <f>IF('Temperature Profiles'!AF17&gt;17,(0.005*('Temperature Profiles'!AF17^2) - 0.1517*'Temperature Profiles'!AF17 + 1.1702)*1000,0)</f>
        <v>523.39618055555582</v>
      </c>
      <c r="AS18" s="22"/>
      <c r="AT18" s="22"/>
      <c r="AU18" s="22"/>
      <c r="AV18" s="22"/>
      <c r="AW18" s="22"/>
      <c r="AX18" s="22"/>
      <c r="AY18" s="22"/>
      <c r="AZ18" s="209"/>
      <c r="BB18" s="219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125">
        <v>0.14583333333333334</v>
      </c>
      <c r="CG18" s="206">
        <f>IF('Temperature Profiles'!AA17&lt;17,(-0.0076*'Temperature Profiles'!AA17+0.1245)*1000,0)</f>
        <v>111.83333333333334</v>
      </c>
      <c r="CH18" s="22"/>
      <c r="CI18" s="22"/>
      <c r="CJ18" s="22"/>
      <c r="CK18" s="22"/>
      <c r="CL18" s="22"/>
      <c r="CM18" s="125">
        <v>0.14583333333333334</v>
      </c>
      <c r="CN18" s="206">
        <f>IF('Temperature Profiles'!AF17&lt;17,(-0.0076*'Temperature Profiles'!AF17+0.1245)*1000,0)</f>
        <v>0</v>
      </c>
      <c r="CO18" s="22"/>
      <c r="CP18" s="22"/>
      <c r="CQ18" s="22"/>
      <c r="CR18" s="22"/>
      <c r="CS18" s="22"/>
      <c r="CT18" s="22"/>
      <c r="CU18" s="22"/>
      <c r="CV18" s="209"/>
      <c r="CX18" s="219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125">
        <v>0.14583333333333334</v>
      </c>
      <c r="EC18" s="241">
        <f>IF('Temperature Profiles'!AA17&gt;17,(0.0043*('Temperature Profiles'!AA17^2)-0.1116*'Temperature Profiles'!AA17+0.6576)*1000,IF('Temperature Profiles'!AA17&lt;17,(0.0053*('Temperature Profiles'!AA17^2)-0.1876*'Temperature Profiles'!AA17+1.7649)*1000,0))</f>
        <v>1466.9555555555555</v>
      </c>
      <c r="ED18" s="22"/>
      <c r="EE18" s="22"/>
      <c r="EF18" s="22"/>
      <c r="EG18" s="22"/>
      <c r="EH18" s="22"/>
      <c r="EI18" s="125">
        <v>0.14583333333333334</v>
      </c>
      <c r="EJ18" s="243">
        <f>IF('Temperature Profiles'!AF17&gt;17,(0.0043*('Temperature Profiles'!AF17^2)-0.1116*'Temperature Profiles'!AF17+0.6576)*1000,IF('Temperature Profiles'!AF17&lt;17,(0.0053*('Temperature Profiles'!AF17^2)-0.1876*'Temperature Profiles'!AF17+1.7649)*1000,0))</f>
        <v>576.82829861111134</v>
      </c>
      <c r="EK18" s="22"/>
      <c r="EL18" s="22"/>
      <c r="EM18" s="22"/>
      <c r="EN18" s="22"/>
      <c r="EO18" s="22"/>
      <c r="EP18" s="22"/>
      <c r="EQ18" s="22"/>
      <c r="ER18" s="209"/>
    </row>
    <row r="19" spans="1:148" x14ac:dyDescent="0.3">
      <c r="A19" s="123">
        <v>0.14583333333333334</v>
      </c>
      <c r="B19" s="259">
        <f t="shared" si="0"/>
        <v>0</v>
      </c>
      <c r="C19" s="22">
        <f t="shared" si="1"/>
        <v>0</v>
      </c>
      <c r="D19" s="21">
        <f t="shared" si="2"/>
        <v>0</v>
      </c>
      <c r="F19" s="219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125">
        <v>0.15625</v>
      </c>
      <c r="AK19" s="233">
        <f>IF('Temperature Profiles'!AA18&gt;17,(0.005*('Temperature Profiles'!AA18^2) - 0.1517*'Temperature Profiles'!AA18 + 1.1701)*1000,0)</f>
        <v>0</v>
      </c>
      <c r="AL19" s="22"/>
      <c r="AM19" s="22"/>
      <c r="AN19" s="22"/>
      <c r="AO19" s="22"/>
      <c r="AP19" s="22"/>
      <c r="AQ19" s="125">
        <v>0.15625</v>
      </c>
      <c r="AR19" s="211">
        <f>IF('Temperature Profiles'!AF18&gt;17,(0.005*('Temperature Profiles'!AF18^2) - 0.1517*'Temperature Profiles'!AF18 + 1.1702)*1000,0)</f>
        <v>523.39618055555582</v>
      </c>
      <c r="AS19" s="22"/>
      <c r="AT19" s="22"/>
      <c r="AU19" s="22"/>
      <c r="AV19" s="22"/>
      <c r="AW19" s="22"/>
      <c r="AX19" s="22"/>
      <c r="AY19" s="22"/>
      <c r="AZ19" s="209"/>
      <c r="BB19" s="219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125">
        <v>0.15625</v>
      </c>
      <c r="CG19" s="206">
        <f>IF('Temperature Profiles'!AA18&lt;17,(-0.0076*'Temperature Profiles'!AA18+0.1245)*1000,0)</f>
        <v>111.83333333333334</v>
      </c>
      <c r="CH19" s="22"/>
      <c r="CI19" s="22"/>
      <c r="CJ19" s="22"/>
      <c r="CK19" s="22"/>
      <c r="CL19" s="22"/>
      <c r="CM19" s="125">
        <v>0.15625</v>
      </c>
      <c r="CN19" s="206">
        <f>IF('Temperature Profiles'!AF18&lt;17,(-0.0076*'Temperature Profiles'!AF18+0.1245)*1000,0)</f>
        <v>0</v>
      </c>
      <c r="CO19" s="22"/>
      <c r="CP19" s="22"/>
      <c r="CQ19" s="22"/>
      <c r="CR19" s="22"/>
      <c r="CS19" s="22"/>
      <c r="CT19" s="22"/>
      <c r="CU19" s="22"/>
      <c r="CV19" s="209"/>
      <c r="CX19" s="219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125">
        <v>0.15625</v>
      </c>
      <c r="EC19" s="241">
        <f>IF('Temperature Profiles'!AA18&gt;17,(0.0043*('Temperature Profiles'!AA18^2)-0.1116*'Temperature Profiles'!AA18+0.6576)*1000,IF('Temperature Profiles'!AA18&lt;17,(0.0053*('Temperature Profiles'!AA18^2)-0.1876*'Temperature Profiles'!AA18+1.7649)*1000,0))</f>
        <v>1466.9555555555555</v>
      </c>
      <c r="ED19" s="22"/>
      <c r="EE19" s="22"/>
      <c r="EF19" s="22"/>
      <c r="EG19" s="22"/>
      <c r="EH19" s="22"/>
      <c r="EI19" s="125">
        <v>0.15625</v>
      </c>
      <c r="EJ19" s="243">
        <f>IF('Temperature Profiles'!AF18&gt;17,(0.0043*('Temperature Profiles'!AF18^2)-0.1116*'Temperature Profiles'!AF18+0.6576)*1000,IF('Temperature Profiles'!AF18&lt;17,(0.0053*('Temperature Profiles'!AF18^2)-0.1876*'Temperature Profiles'!AF18+1.7649)*1000,0))</f>
        <v>576.82829861111134</v>
      </c>
      <c r="EK19" s="22"/>
      <c r="EL19" s="22"/>
      <c r="EM19" s="22"/>
      <c r="EN19" s="22"/>
      <c r="EO19" s="22"/>
      <c r="EP19" s="22"/>
      <c r="EQ19" s="22"/>
      <c r="ER19" s="209"/>
    </row>
    <row r="20" spans="1:148" x14ac:dyDescent="0.3">
      <c r="A20" s="123">
        <v>0.15625</v>
      </c>
      <c r="B20" s="259">
        <f t="shared" si="0"/>
        <v>0</v>
      </c>
      <c r="C20" s="22">
        <f t="shared" si="1"/>
        <v>0</v>
      </c>
      <c r="D20" s="21">
        <f t="shared" si="2"/>
        <v>0</v>
      </c>
      <c r="F20" s="219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125">
        <v>0.16666666666666666</v>
      </c>
      <c r="AK20" s="233">
        <f>IF('Temperature Profiles'!AA19&gt;17,(0.005*('Temperature Profiles'!AA19^2) - 0.1517*'Temperature Profiles'!AA19 + 1.1701)*1000,0)</f>
        <v>0</v>
      </c>
      <c r="AL20" s="22"/>
      <c r="AM20" s="22"/>
      <c r="AN20" s="22"/>
      <c r="AO20" s="22"/>
      <c r="AP20" s="22"/>
      <c r="AQ20" s="125">
        <v>0.16666666666666666</v>
      </c>
      <c r="AR20" s="211">
        <f>IF('Temperature Profiles'!AF19&gt;17,(0.005*('Temperature Profiles'!AF19^2) - 0.1517*'Temperature Profiles'!AF19 + 1.1702)*1000,0)</f>
        <v>523.39618055555582</v>
      </c>
      <c r="AS20" s="22"/>
      <c r="AT20" s="22"/>
      <c r="AU20" s="22"/>
      <c r="AV20" s="22"/>
      <c r="AW20" s="22"/>
      <c r="AX20" s="22"/>
      <c r="AY20" s="22"/>
      <c r="AZ20" s="209"/>
      <c r="BB20" s="219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125">
        <v>0.16666666666666666</v>
      </c>
      <c r="CG20" s="206">
        <f>IF('Temperature Profiles'!AA19&lt;17,(-0.0076*'Temperature Profiles'!AA19+0.1245)*1000,0)</f>
        <v>111.83333333333334</v>
      </c>
      <c r="CH20" s="22"/>
      <c r="CI20" s="22"/>
      <c r="CJ20" s="22"/>
      <c r="CK20" s="22"/>
      <c r="CL20" s="22"/>
      <c r="CM20" s="125">
        <v>0.16666666666666666</v>
      </c>
      <c r="CN20" s="206">
        <f>IF('Temperature Profiles'!AF19&lt;17,(-0.0076*'Temperature Profiles'!AF19+0.1245)*1000,0)</f>
        <v>0</v>
      </c>
      <c r="CO20" s="22"/>
      <c r="CP20" s="22"/>
      <c r="CQ20" s="22"/>
      <c r="CR20" s="22"/>
      <c r="CS20" s="22"/>
      <c r="CT20" s="22"/>
      <c r="CU20" s="22"/>
      <c r="CV20" s="209"/>
      <c r="CX20" s="219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125">
        <v>0.16666666666666666</v>
      </c>
      <c r="EC20" s="241">
        <f>IF('Temperature Profiles'!AA19&gt;17,(0.0043*('Temperature Profiles'!AA19^2)-0.1116*'Temperature Profiles'!AA19+0.6576)*1000,IF('Temperature Profiles'!AA19&lt;17,(0.0053*('Temperature Profiles'!AA19^2)-0.1876*'Temperature Profiles'!AA19+1.7649)*1000,0))</f>
        <v>1466.9555555555555</v>
      </c>
      <c r="ED20" s="22"/>
      <c r="EE20" s="22"/>
      <c r="EF20" s="22"/>
      <c r="EG20" s="22"/>
      <c r="EH20" s="22"/>
      <c r="EI20" s="125">
        <v>0.16666666666666666</v>
      </c>
      <c r="EJ20" s="243">
        <f>IF('Temperature Profiles'!AF19&gt;17,(0.0043*('Temperature Profiles'!AF19^2)-0.1116*'Temperature Profiles'!AF19+0.6576)*1000,IF('Temperature Profiles'!AF19&lt;17,(0.0053*('Temperature Profiles'!AF19^2)-0.1876*'Temperature Profiles'!AF19+1.7649)*1000,0))</f>
        <v>576.82829861111134</v>
      </c>
      <c r="EK20" s="22"/>
      <c r="EL20" s="22"/>
      <c r="EM20" s="22"/>
      <c r="EN20" s="22"/>
      <c r="EO20" s="22"/>
      <c r="EP20" s="22"/>
      <c r="EQ20" s="22"/>
      <c r="ER20" s="209"/>
    </row>
    <row r="21" spans="1:148" x14ac:dyDescent="0.3">
      <c r="A21" s="123">
        <v>0.16666666666666666</v>
      </c>
      <c r="B21" s="259">
        <f t="shared" si="0"/>
        <v>0</v>
      </c>
      <c r="C21" s="22">
        <f t="shared" si="1"/>
        <v>0</v>
      </c>
      <c r="D21" s="21">
        <f t="shared" si="2"/>
        <v>0</v>
      </c>
      <c r="F21" s="219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125">
        <v>0.17708333333333334</v>
      </c>
      <c r="AK21" s="233">
        <f>IF('Temperature Profiles'!AA20&gt;17,(0.005*('Temperature Profiles'!AA20^2) - 0.1517*'Temperature Profiles'!AA20 + 1.1701)*1000,0)</f>
        <v>0</v>
      </c>
      <c r="AL21" s="22"/>
      <c r="AM21" s="22"/>
      <c r="AN21" s="22"/>
      <c r="AO21" s="22"/>
      <c r="AP21" s="22"/>
      <c r="AQ21" s="125">
        <v>0.17708333333333334</v>
      </c>
      <c r="AR21" s="211">
        <f>IF('Temperature Profiles'!AF20&gt;17,(0.005*('Temperature Profiles'!AF20^2) - 0.1517*'Temperature Profiles'!AF20 + 1.1702)*1000,0)</f>
        <v>502.69999999999993</v>
      </c>
      <c r="AS21" s="22"/>
      <c r="AT21" s="22"/>
      <c r="AU21" s="22"/>
      <c r="AV21" s="22"/>
      <c r="AW21" s="22"/>
      <c r="AX21" s="22"/>
      <c r="AY21" s="22"/>
      <c r="AZ21" s="209"/>
      <c r="BB21" s="219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125">
        <v>0.17708333333333334</v>
      </c>
      <c r="CG21" s="206">
        <f>IF('Temperature Profiles'!AA20&lt;17,(-0.0076*'Temperature Profiles'!AA20+0.1245)*1000,0)</f>
        <v>118.67333333333333</v>
      </c>
      <c r="CH21" s="22"/>
      <c r="CI21" s="22"/>
      <c r="CJ21" s="22"/>
      <c r="CK21" s="22"/>
      <c r="CL21" s="22"/>
      <c r="CM21" s="125">
        <v>0.17708333333333334</v>
      </c>
      <c r="CN21" s="206">
        <f>IF('Temperature Profiles'!AF20&lt;17,(-0.0076*'Temperature Profiles'!AF20+0.1245)*1000,0)</f>
        <v>0</v>
      </c>
      <c r="CO21" s="22"/>
      <c r="CP21" s="22"/>
      <c r="CQ21" s="22"/>
      <c r="CR21" s="22"/>
      <c r="CS21" s="22"/>
      <c r="CT21" s="22"/>
      <c r="CU21" s="22"/>
      <c r="CV21" s="209"/>
      <c r="CX21" s="219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125">
        <v>0.17708333333333334</v>
      </c>
      <c r="EC21" s="241">
        <f>IF('Temperature Profiles'!AA20&gt;17,(0.0043*('Temperature Profiles'!AA20^2)-0.1116*'Temperature Profiles'!AA20+0.6576)*1000,IF('Temperature Profiles'!AA20&lt;17,(0.0053*('Temperature Profiles'!AA20^2)-0.1876*'Temperature Profiles'!AA20+1.7649)*1000,0))</f>
        <v>1624.1885555555552</v>
      </c>
      <c r="ED21" s="22"/>
      <c r="EE21" s="22"/>
      <c r="EF21" s="22"/>
      <c r="EG21" s="22"/>
      <c r="EH21" s="22"/>
      <c r="EI21" s="125">
        <v>0.17708333333333334</v>
      </c>
      <c r="EJ21" s="243">
        <f>IF('Temperature Profiles'!AF20&gt;17,(0.0043*('Temperature Profiles'!AF20^2)-0.1116*'Temperature Profiles'!AF20+0.6576)*1000,IF('Temperature Profiles'!AF20&lt;17,(0.0053*('Temperature Profiles'!AF20^2)-0.1876*'Temperature Profiles'!AF20+1.7649)*1000,0))</f>
        <v>555.09999999999991</v>
      </c>
      <c r="EK21" s="22"/>
      <c r="EL21" s="22"/>
      <c r="EM21" s="22"/>
      <c r="EN21" s="22"/>
      <c r="EO21" s="22"/>
      <c r="EP21" s="22"/>
      <c r="EQ21" s="22"/>
      <c r="ER21" s="209"/>
    </row>
    <row r="22" spans="1:148" x14ac:dyDescent="0.3">
      <c r="A22" s="123">
        <v>0.17708333333333334</v>
      </c>
      <c r="B22" s="259">
        <f t="shared" si="0"/>
        <v>0</v>
      </c>
      <c r="C22" s="22">
        <f t="shared" si="1"/>
        <v>0</v>
      </c>
      <c r="D22" s="21">
        <f t="shared" si="2"/>
        <v>0</v>
      </c>
      <c r="F22" s="219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125">
        <v>0.1875</v>
      </c>
      <c r="AK22" s="233">
        <f>IF('Temperature Profiles'!AA21&gt;17,(0.005*('Temperature Profiles'!AA21^2) - 0.1517*'Temperature Profiles'!AA21 + 1.1701)*1000,0)</f>
        <v>0</v>
      </c>
      <c r="AL22" s="22"/>
      <c r="AM22" s="22"/>
      <c r="AN22" s="22"/>
      <c r="AO22" s="22"/>
      <c r="AP22" s="22"/>
      <c r="AQ22" s="125">
        <v>0.1875</v>
      </c>
      <c r="AR22" s="211">
        <f>IF('Temperature Profiles'!AF21&gt;17,(0.005*('Temperature Profiles'!AF21^2) - 0.1517*'Temperature Profiles'!AF21 + 1.1702)*1000,0)</f>
        <v>502.69999999999993</v>
      </c>
      <c r="AS22" s="22"/>
      <c r="AT22" s="22"/>
      <c r="AU22" s="22"/>
      <c r="AV22" s="22"/>
      <c r="AW22" s="22"/>
      <c r="AX22" s="22"/>
      <c r="AY22" s="22"/>
      <c r="AZ22" s="209"/>
      <c r="BB22" s="219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125">
        <v>0.1875</v>
      </c>
      <c r="CG22" s="206">
        <f>IF('Temperature Profiles'!AA21&lt;17,(-0.0076*'Temperature Profiles'!AA21+0.1245)*1000,0)</f>
        <v>118.67333333333333</v>
      </c>
      <c r="CH22" s="22"/>
      <c r="CI22" s="22"/>
      <c r="CJ22" s="22"/>
      <c r="CK22" s="22"/>
      <c r="CL22" s="22"/>
      <c r="CM22" s="125">
        <v>0.1875</v>
      </c>
      <c r="CN22" s="206">
        <f>IF('Temperature Profiles'!AF21&lt;17,(-0.0076*'Temperature Profiles'!AF21+0.1245)*1000,0)</f>
        <v>0</v>
      </c>
      <c r="CO22" s="22"/>
      <c r="CP22" s="22"/>
      <c r="CQ22" s="22"/>
      <c r="CR22" s="22"/>
      <c r="CS22" s="22"/>
      <c r="CT22" s="22"/>
      <c r="CU22" s="22"/>
      <c r="CV22" s="209"/>
      <c r="CX22" s="219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125">
        <v>0.1875</v>
      </c>
      <c r="EC22" s="241">
        <f>IF('Temperature Profiles'!AA21&gt;17,(0.0043*('Temperature Profiles'!AA21^2)-0.1116*'Temperature Profiles'!AA21+0.6576)*1000,IF('Temperature Profiles'!AA21&lt;17,(0.0053*('Temperature Profiles'!AA21^2)-0.1876*'Temperature Profiles'!AA21+1.7649)*1000,0))</f>
        <v>1624.1885555555552</v>
      </c>
      <c r="ED22" s="22"/>
      <c r="EE22" s="22"/>
      <c r="EF22" s="22"/>
      <c r="EG22" s="22"/>
      <c r="EH22" s="22"/>
      <c r="EI22" s="125">
        <v>0.1875</v>
      </c>
      <c r="EJ22" s="243">
        <f>IF('Temperature Profiles'!AF21&gt;17,(0.0043*('Temperature Profiles'!AF21^2)-0.1116*'Temperature Profiles'!AF21+0.6576)*1000,IF('Temperature Profiles'!AF21&lt;17,(0.0053*('Temperature Profiles'!AF21^2)-0.1876*'Temperature Profiles'!AF21+1.7649)*1000,0))</f>
        <v>555.09999999999991</v>
      </c>
      <c r="EK22" s="22"/>
      <c r="EL22" s="22"/>
      <c r="EM22" s="22"/>
      <c r="EN22" s="22"/>
      <c r="EO22" s="22"/>
      <c r="EP22" s="22"/>
      <c r="EQ22" s="22"/>
      <c r="ER22" s="209"/>
    </row>
    <row r="23" spans="1:148" x14ac:dyDescent="0.3">
      <c r="A23" s="123">
        <v>0.1875</v>
      </c>
      <c r="B23" s="259">
        <f t="shared" si="0"/>
        <v>0</v>
      </c>
      <c r="C23" s="22">
        <f t="shared" si="1"/>
        <v>0</v>
      </c>
      <c r="D23" s="21">
        <f t="shared" si="2"/>
        <v>0</v>
      </c>
      <c r="F23" s="219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125">
        <v>0.19791666666666666</v>
      </c>
      <c r="AK23" s="233">
        <f>IF('Temperature Profiles'!AA22&gt;17,(0.005*('Temperature Profiles'!AA22^2) - 0.1517*'Temperature Profiles'!AA22 + 1.1701)*1000,0)</f>
        <v>0</v>
      </c>
      <c r="AL23" s="22"/>
      <c r="AM23" s="22"/>
      <c r="AN23" s="22"/>
      <c r="AO23" s="22"/>
      <c r="AP23" s="22"/>
      <c r="AQ23" s="125">
        <v>0.19791666666666666</v>
      </c>
      <c r="AR23" s="211">
        <f>IF('Temperature Profiles'!AF22&gt;17,(0.005*('Temperature Profiles'!AF22^2) - 0.1517*'Temperature Profiles'!AF22 + 1.1702)*1000,0)</f>
        <v>502.69999999999993</v>
      </c>
      <c r="AS23" s="22"/>
      <c r="AT23" s="22"/>
      <c r="AU23" s="22"/>
      <c r="AV23" s="22"/>
      <c r="AW23" s="22"/>
      <c r="AX23" s="22"/>
      <c r="AY23" s="22"/>
      <c r="AZ23" s="209"/>
      <c r="BB23" s="219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125">
        <v>0.19791666666666666</v>
      </c>
      <c r="CG23" s="206">
        <f>IF('Temperature Profiles'!AA22&lt;17,(-0.0076*'Temperature Profiles'!AA22+0.1245)*1000,0)</f>
        <v>118.67333333333333</v>
      </c>
      <c r="CH23" s="22"/>
      <c r="CI23" s="22"/>
      <c r="CJ23" s="22"/>
      <c r="CK23" s="22"/>
      <c r="CL23" s="22"/>
      <c r="CM23" s="125">
        <v>0.19791666666666666</v>
      </c>
      <c r="CN23" s="206">
        <f>IF('Temperature Profiles'!AF22&lt;17,(-0.0076*'Temperature Profiles'!AF22+0.1245)*1000,0)</f>
        <v>0</v>
      </c>
      <c r="CO23" s="22"/>
      <c r="CP23" s="22"/>
      <c r="CQ23" s="22"/>
      <c r="CR23" s="22"/>
      <c r="CS23" s="22"/>
      <c r="CT23" s="22"/>
      <c r="CU23" s="22"/>
      <c r="CV23" s="209"/>
      <c r="CX23" s="219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125">
        <v>0.19791666666666666</v>
      </c>
      <c r="EC23" s="241">
        <f>IF('Temperature Profiles'!AA22&gt;17,(0.0043*('Temperature Profiles'!AA22^2)-0.1116*'Temperature Profiles'!AA22+0.6576)*1000,IF('Temperature Profiles'!AA22&lt;17,(0.0053*('Temperature Profiles'!AA22^2)-0.1876*'Temperature Profiles'!AA22+1.7649)*1000,0))</f>
        <v>1624.1885555555552</v>
      </c>
      <c r="ED23" s="22"/>
      <c r="EE23" s="22"/>
      <c r="EF23" s="22"/>
      <c r="EG23" s="22"/>
      <c r="EH23" s="22"/>
      <c r="EI23" s="125">
        <v>0.19791666666666666</v>
      </c>
      <c r="EJ23" s="243">
        <f>IF('Temperature Profiles'!AF22&gt;17,(0.0043*('Temperature Profiles'!AF22^2)-0.1116*'Temperature Profiles'!AF22+0.6576)*1000,IF('Temperature Profiles'!AF22&lt;17,(0.0053*('Temperature Profiles'!AF22^2)-0.1876*'Temperature Profiles'!AF22+1.7649)*1000,0))</f>
        <v>555.09999999999991</v>
      </c>
      <c r="EK23" s="22"/>
      <c r="EL23" s="22"/>
      <c r="EM23" s="22"/>
      <c r="EN23" s="22"/>
      <c r="EO23" s="22"/>
      <c r="EP23" s="22"/>
      <c r="EQ23" s="22"/>
      <c r="ER23" s="209"/>
    </row>
    <row r="24" spans="1:148" x14ac:dyDescent="0.3">
      <c r="A24" s="123">
        <v>0.19791666666666666</v>
      </c>
      <c r="B24" s="259">
        <f t="shared" si="0"/>
        <v>0</v>
      </c>
      <c r="C24" s="22">
        <f t="shared" si="1"/>
        <v>0</v>
      </c>
      <c r="D24" s="21">
        <f t="shared" si="2"/>
        <v>0</v>
      </c>
      <c r="F24" s="219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125">
        <v>0.20833333333333334</v>
      </c>
      <c r="AK24" s="233">
        <f>IF('Temperature Profiles'!AA23&gt;17,(0.005*('Temperature Profiles'!AA23^2) - 0.1517*'Temperature Profiles'!AA23 + 1.1701)*1000,0)</f>
        <v>0</v>
      </c>
      <c r="AL24" s="22"/>
      <c r="AM24" s="22"/>
      <c r="AN24" s="22"/>
      <c r="AO24" s="22"/>
      <c r="AP24" s="22"/>
      <c r="AQ24" s="125">
        <v>0.20833333333333334</v>
      </c>
      <c r="AR24" s="211">
        <f>IF('Temperature Profiles'!AF23&gt;17,(0.005*('Temperature Profiles'!AF23^2) - 0.1517*'Temperature Profiles'!AF23 + 1.1702)*1000,0)</f>
        <v>502.69999999999993</v>
      </c>
      <c r="AS24" s="22"/>
      <c r="AT24" s="22"/>
      <c r="AU24" s="22"/>
      <c r="AV24" s="22"/>
      <c r="AW24" s="22"/>
      <c r="AX24" s="22"/>
      <c r="AY24" s="22"/>
      <c r="AZ24" s="209"/>
      <c r="BB24" s="219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125">
        <v>0.20833333333333334</v>
      </c>
      <c r="CG24" s="206">
        <f>IF('Temperature Profiles'!AA23&lt;17,(-0.0076*'Temperature Profiles'!AA23+0.1245)*1000,0)</f>
        <v>118.67333333333333</v>
      </c>
      <c r="CH24" s="22"/>
      <c r="CI24" s="22"/>
      <c r="CJ24" s="22"/>
      <c r="CK24" s="22"/>
      <c r="CL24" s="22"/>
      <c r="CM24" s="125">
        <v>0.20833333333333334</v>
      </c>
      <c r="CN24" s="206">
        <f>IF('Temperature Profiles'!AF23&lt;17,(-0.0076*'Temperature Profiles'!AF23+0.1245)*1000,0)</f>
        <v>0</v>
      </c>
      <c r="CO24" s="22"/>
      <c r="CP24" s="22"/>
      <c r="CQ24" s="22"/>
      <c r="CR24" s="22"/>
      <c r="CS24" s="22"/>
      <c r="CT24" s="22"/>
      <c r="CU24" s="22"/>
      <c r="CV24" s="209"/>
      <c r="CX24" s="219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125">
        <v>0.20833333333333334</v>
      </c>
      <c r="EC24" s="241">
        <f>IF('Temperature Profiles'!AA23&gt;17,(0.0043*('Temperature Profiles'!AA23^2)-0.1116*'Temperature Profiles'!AA23+0.6576)*1000,IF('Temperature Profiles'!AA23&lt;17,(0.0053*('Temperature Profiles'!AA23^2)-0.1876*'Temperature Profiles'!AA23+1.7649)*1000,0))</f>
        <v>1624.1885555555552</v>
      </c>
      <c r="ED24" s="22"/>
      <c r="EE24" s="22"/>
      <c r="EF24" s="22"/>
      <c r="EG24" s="22"/>
      <c r="EH24" s="22"/>
      <c r="EI24" s="125">
        <v>0.20833333333333334</v>
      </c>
      <c r="EJ24" s="243">
        <f>IF('Temperature Profiles'!AF23&gt;17,(0.0043*('Temperature Profiles'!AF23^2)-0.1116*'Temperature Profiles'!AF23+0.6576)*1000,IF('Temperature Profiles'!AF23&lt;17,(0.0053*('Temperature Profiles'!AF23^2)-0.1876*'Temperature Profiles'!AF23+1.7649)*1000,0))</f>
        <v>555.09999999999991</v>
      </c>
      <c r="EK24" s="22"/>
      <c r="EL24" s="22"/>
      <c r="EM24" s="22"/>
      <c r="EN24" s="22"/>
      <c r="EO24" s="22"/>
      <c r="EP24" s="22"/>
      <c r="EQ24" s="22"/>
      <c r="ER24" s="209"/>
    </row>
    <row r="25" spans="1:148" x14ac:dyDescent="0.3">
      <c r="A25" s="123">
        <v>0.20833333333333334</v>
      </c>
      <c r="B25" s="259">
        <f t="shared" si="0"/>
        <v>0</v>
      </c>
      <c r="C25" s="22">
        <f t="shared" si="1"/>
        <v>0</v>
      </c>
      <c r="D25" s="21">
        <f t="shared" si="2"/>
        <v>0</v>
      </c>
      <c r="F25" s="219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125">
        <v>0.21875</v>
      </c>
      <c r="AK25" s="233">
        <f>IF('Temperature Profiles'!AA24&gt;17,(0.005*('Temperature Profiles'!AA24^2) - 0.1517*'Temperature Profiles'!AA24 + 1.1701)*1000,0)</f>
        <v>0</v>
      </c>
      <c r="AL25" s="22"/>
      <c r="AM25" s="22"/>
      <c r="AN25" s="22"/>
      <c r="AO25" s="22"/>
      <c r="AP25" s="22"/>
      <c r="AQ25" s="125">
        <v>0.21875</v>
      </c>
      <c r="AR25" s="211">
        <f>IF('Temperature Profiles'!AF24&gt;17,(0.005*('Temperature Profiles'!AF24^2) - 0.1517*'Temperature Profiles'!AF24 + 1.1702)*1000,0)</f>
        <v>491.29972222222261</v>
      </c>
      <c r="AS25" s="22"/>
      <c r="AT25" s="22"/>
      <c r="AU25" s="22"/>
      <c r="AV25" s="22"/>
      <c r="AW25" s="22"/>
      <c r="AX25" s="22"/>
      <c r="AY25" s="22"/>
      <c r="AZ25" s="209"/>
      <c r="BB25" s="219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125">
        <v>0.21875</v>
      </c>
      <c r="CG25" s="206">
        <f>IF('Temperature Profiles'!AA24&lt;17,(-0.0076*'Temperature Profiles'!AA24+0.1245)*1000,0)</f>
        <v>119.94000000000001</v>
      </c>
      <c r="CH25" s="22"/>
      <c r="CI25" s="22"/>
      <c r="CJ25" s="22"/>
      <c r="CK25" s="22"/>
      <c r="CL25" s="22"/>
      <c r="CM25" s="125">
        <v>0.21875</v>
      </c>
      <c r="CN25" s="206">
        <f>IF('Temperature Profiles'!AF24&lt;17,(-0.0076*'Temperature Profiles'!AF24+0.1245)*1000,0)</f>
        <v>0</v>
      </c>
      <c r="CO25" s="22"/>
      <c r="CP25" s="22"/>
      <c r="CQ25" s="22"/>
      <c r="CR25" s="22"/>
      <c r="CS25" s="22"/>
      <c r="CT25" s="22"/>
      <c r="CU25" s="22"/>
      <c r="CV25" s="209"/>
      <c r="CX25" s="219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125">
        <v>0.21875</v>
      </c>
      <c r="EC25" s="241">
        <f>IF('Temperature Profiles'!AA24&gt;17,(0.0043*('Temperature Profiles'!AA24^2)-0.1116*'Temperature Profiles'!AA24+0.6576)*1000,IF('Temperature Profiles'!AA24&lt;17,(0.0053*('Temperature Profiles'!AA24^2)-0.1876*'Temperature Profiles'!AA24+1.7649)*1000,0))</f>
        <v>1654.2480000000003</v>
      </c>
      <c r="ED25" s="22"/>
      <c r="EE25" s="22"/>
      <c r="EF25" s="22"/>
      <c r="EG25" s="22"/>
      <c r="EH25" s="22"/>
      <c r="EI25" s="125">
        <v>0.21875</v>
      </c>
      <c r="EJ25" s="243">
        <f>IF('Temperature Profiles'!AF24&gt;17,(0.0043*('Temperature Profiles'!AF24^2)-0.1116*'Temperature Profiles'!AF24+0.6576)*1000,IF('Temperature Profiles'!AF24&lt;17,(0.0053*('Temperature Profiles'!AF24^2)-0.1876*'Temperature Profiles'!AF24+1.7649)*1000,0))</f>
        <v>543.0951944444447</v>
      </c>
      <c r="EK25" s="22"/>
      <c r="EL25" s="22"/>
      <c r="EM25" s="22"/>
      <c r="EN25" s="22"/>
      <c r="EO25" s="22"/>
      <c r="EP25" s="22"/>
      <c r="EQ25" s="22"/>
      <c r="ER25" s="209"/>
    </row>
    <row r="26" spans="1:148" x14ac:dyDescent="0.3">
      <c r="A26" s="123">
        <v>0.21875</v>
      </c>
      <c r="B26" s="259">
        <f t="shared" si="0"/>
        <v>0</v>
      </c>
      <c r="C26" s="22">
        <f t="shared" si="1"/>
        <v>0</v>
      </c>
      <c r="D26" s="21">
        <f t="shared" si="2"/>
        <v>0</v>
      </c>
      <c r="F26" s="219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125">
        <v>0.22916666666666666</v>
      </c>
      <c r="AK26" s="233">
        <f>IF('Temperature Profiles'!AA25&gt;17,(0.005*('Temperature Profiles'!AA25^2) - 0.1517*'Temperature Profiles'!AA25 + 1.1701)*1000,0)</f>
        <v>0</v>
      </c>
      <c r="AL26" s="22"/>
      <c r="AM26" s="22"/>
      <c r="AN26" s="22"/>
      <c r="AO26" s="22"/>
      <c r="AP26" s="22"/>
      <c r="AQ26" s="125">
        <v>0.22916666666666666</v>
      </c>
      <c r="AR26" s="211">
        <f>IF('Temperature Profiles'!AF25&gt;17,(0.005*('Temperature Profiles'!AF25^2) - 0.1517*'Temperature Profiles'!AF25 + 1.1702)*1000,0)</f>
        <v>491.29972222222261</v>
      </c>
      <c r="AS26" s="22"/>
      <c r="AT26" s="22"/>
      <c r="AU26" s="22"/>
      <c r="AV26" s="22"/>
      <c r="AW26" s="22"/>
      <c r="AX26" s="22"/>
      <c r="AY26" s="22"/>
      <c r="AZ26" s="209"/>
      <c r="BB26" s="219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125">
        <v>0.22916666666666666</v>
      </c>
      <c r="CG26" s="206">
        <f>IF('Temperature Profiles'!AA25&lt;17,(-0.0076*'Temperature Profiles'!AA25+0.1245)*1000,0)</f>
        <v>119.94000000000001</v>
      </c>
      <c r="CH26" s="22"/>
      <c r="CI26" s="22"/>
      <c r="CJ26" s="22"/>
      <c r="CK26" s="22"/>
      <c r="CL26" s="22"/>
      <c r="CM26" s="125">
        <v>0.22916666666666666</v>
      </c>
      <c r="CN26" s="206">
        <f>IF('Temperature Profiles'!AF25&lt;17,(-0.0076*'Temperature Profiles'!AF25+0.1245)*1000,0)</f>
        <v>0</v>
      </c>
      <c r="CO26" s="22"/>
      <c r="CP26" s="22"/>
      <c r="CQ26" s="22"/>
      <c r="CR26" s="22"/>
      <c r="CS26" s="22"/>
      <c r="CT26" s="22"/>
      <c r="CU26" s="22"/>
      <c r="CV26" s="209"/>
      <c r="CX26" s="219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125">
        <v>0.22916666666666666</v>
      </c>
      <c r="EC26" s="241">
        <f>IF('Temperature Profiles'!AA25&gt;17,(0.0043*('Temperature Profiles'!AA25^2)-0.1116*'Temperature Profiles'!AA25+0.6576)*1000,IF('Temperature Profiles'!AA25&lt;17,(0.0053*('Temperature Profiles'!AA25^2)-0.1876*'Temperature Profiles'!AA25+1.7649)*1000,0))</f>
        <v>1654.2480000000003</v>
      </c>
      <c r="ED26" s="22"/>
      <c r="EE26" s="22"/>
      <c r="EF26" s="22"/>
      <c r="EG26" s="22"/>
      <c r="EH26" s="22"/>
      <c r="EI26" s="125">
        <v>0.22916666666666666</v>
      </c>
      <c r="EJ26" s="243">
        <f>IF('Temperature Profiles'!AF25&gt;17,(0.0043*('Temperature Profiles'!AF25^2)-0.1116*'Temperature Profiles'!AF25+0.6576)*1000,IF('Temperature Profiles'!AF25&lt;17,(0.0053*('Temperature Profiles'!AF25^2)-0.1876*'Temperature Profiles'!AF25+1.7649)*1000,0))</f>
        <v>543.0951944444447</v>
      </c>
      <c r="EK26" s="22"/>
      <c r="EL26" s="22"/>
      <c r="EM26" s="22"/>
      <c r="EN26" s="22"/>
      <c r="EO26" s="22"/>
      <c r="EP26" s="22"/>
      <c r="EQ26" s="22"/>
      <c r="ER26" s="209"/>
    </row>
    <row r="27" spans="1:148" x14ac:dyDescent="0.3">
      <c r="A27" s="123">
        <v>0.22916666666666666</v>
      </c>
      <c r="B27" s="259">
        <f t="shared" si="0"/>
        <v>0</v>
      </c>
      <c r="C27" s="22">
        <f t="shared" si="1"/>
        <v>0</v>
      </c>
      <c r="D27" s="21">
        <f t="shared" si="2"/>
        <v>0</v>
      </c>
      <c r="F27" s="219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125">
        <v>0.23958333333333334</v>
      </c>
      <c r="AK27" s="233">
        <f>IF('Temperature Profiles'!AA26&gt;17,(0.005*('Temperature Profiles'!AA26^2) - 0.1517*'Temperature Profiles'!AA26 + 1.1701)*1000,0)</f>
        <v>0</v>
      </c>
      <c r="AL27" s="22"/>
      <c r="AM27" s="22"/>
      <c r="AN27" s="22"/>
      <c r="AO27" s="22"/>
      <c r="AP27" s="22"/>
      <c r="AQ27" s="125">
        <v>0.23958333333333334</v>
      </c>
      <c r="AR27" s="211">
        <f>IF('Temperature Profiles'!AF26&gt;17,(0.005*('Temperature Profiles'!AF26^2) - 0.1517*'Temperature Profiles'!AF26 + 1.1702)*1000,0)</f>
        <v>491.29972222222261</v>
      </c>
      <c r="AS27" s="22"/>
      <c r="AT27" s="22"/>
      <c r="AU27" s="22"/>
      <c r="AV27" s="22"/>
      <c r="AW27" s="22"/>
      <c r="AX27" s="22"/>
      <c r="AY27" s="22"/>
      <c r="AZ27" s="209"/>
      <c r="BB27" s="219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125">
        <v>0.23958333333333334</v>
      </c>
      <c r="CG27" s="206">
        <f>IF('Temperature Profiles'!AA26&lt;17,(-0.0076*'Temperature Profiles'!AA26+0.1245)*1000,0)</f>
        <v>119.94000000000001</v>
      </c>
      <c r="CH27" s="22"/>
      <c r="CI27" s="22"/>
      <c r="CJ27" s="22"/>
      <c r="CK27" s="22"/>
      <c r="CL27" s="22"/>
      <c r="CM27" s="125">
        <v>0.23958333333333334</v>
      </c>
      <c r="CN27" s="206">
        <f>IF('Temperature Profiles'!AF26&lt;17,(-0.0076*'Temperature Profiles'!AF26+0.1245)*1000,0)</f>
        <v>0</v>
      </c>
      <c r="CO27" s="22"/>
      <c r="CP27" s="22"/>
      <c r="CQ27" s="22"/>
      <c r="CR27" s="22"/>
      <c r="CS27" s="22"/>
      <c r="CT27" s="22"/>
      <c r="CU27" s="22"/>
      <c r="CV27" s="209"/>
      <c r="CX27" s="219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125">
        <v>0.23958333333333334</v>
      </c>
      <c r="EC27" s="241">
        <f>IF('Temperature Profiles'!AA26&gt;17,(0.0043*('Temperature Profiles'!AA26^2)-0.1116*'Temperature Profiles'!AA26+0.6576)*1000,IF('Temperature Profiles'!AA26&lt;17,(0.0053*('Temperature Profiles'!AA26^2)-0.1876*'Temperature Profiles'!AA26+1.7649)*1000,0))</f>
        <v>1654.2480000000003</v>
      </c>
      <c r="ED27" s="22"/>
      <c r="EE27" s="22"/>
      <c r="EF27" s="22"/>
      <c r="EG27" s="22"/>
      <c r="EH27" s="22"/>
      <c r="EI27" s="125">
        <v>0.23958333333333334</v>
      </c>
      <c r="EJ27" s="243">
        <f>IF('Temperature Profiles'!AF26&gt;17,(0.0043*('Temperature Profiles'!AF26^2)-0.1116*'Temperature Profiles'!AF26+0.6576)*1000,IF('Temperature Profiles'!AF26&lt;17,(0.0053*('Temperature Profiles'!AF26^2)-0.1876*'Temperature Profiles'!AF26+1.7649)*1000,0))</f>
        <v>543.0951944444447</v>
      </c>
      <c r="EK27" s="22"/>
      <c r="EL27" s="22"/>
      <c r="EM27" s="22"/>
      <c r="EN27" s="22"/>
      <c r="EO27" s="22"/>
      <c r="EP27" s="22"/>
      <c r="EQ27" s="22"/>
      <c r="ER27" s="209"/>
    </row>
    <row r="28" spans="1:148" x14ac:dyDescent="0.3">
      <c r="A28" s="123">
        <v>0.23958333333333334</v>
      </c>
      <c r="B28" s="259">
        <f t="shared" si="0"/>
        <v>0</v>
      </c>
      <c r="C28" s="22">
        <f t="shared" si="1"/>
        <v>0</v>
      </c>
      <c r="D28" s="21">
        <f t="shared" si="2"/>
        <v>0</v>
      </c>
      <c r="F28" s="219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125">
        <v>0.25</v>
      </c>
      <c r="AK28" s="233">
        <f>IF('Temperature Profiles'!AA27&gt;17,(0.005*('Temperature Profiles'!AA27^2) - 0.1517*'Temperature Profiles'!AA27 + 1.1701)*1000,0)</f>
        <v>0</v>
      </c>
      <c r="AL28" s="22"/>
      <c r="AM28" s="22"/>
      <c r="AN28" s="22"/>
      <c r="AO28" s="22"/>
      <c r="AP28" s="22"/>
      <c r="AQ28" s="125">
        <v>0.25</v>
      </c>
      <c r="AR28" s="211">
        <f>IF('Temperature Profiles'!AF27&gt;17,(0.005*('Temperature Profiles'!AF27^2) - 0.1517*'Temperature Profiles'!AF27 + 1.1702)*1000,0)</f>
        <v>491.29972222222261</v>
      </c>
      <c r="AS28" s="22"/>
      <c r="AT28" s="22"/>
      <c r="AU28" s="22"/>
      <c r="AV28" s="22"/>
      <c r="AW28" s="22"/>
      <c r="AX28" s="22"/>
      <c r="AY28" s="22"/>
      <c r="AZ28" s="209"/>
      <c r="BB28" s="219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  <c r="CD28" s="22"/>
      <c r="CE28" s="22"/>
      <c r="CF28" s="125">
        <v>0.25</v>
      </c>
      <c r="CG28" s="206">
        <f>IF('Temperature Profiles'!AA27&lt;17,(-0.0076*'Temperature Profiles'!AA27+0.1245)*1000,0)</f>
        <v>119.94000000000001</v>
      </c>
      <c r="CH28" s="22"/>
      <c r="CI28" s="22"/>
      <c r="CJ28" s="22"/>
      <c r="CK28" s="22"/>
      <c r="CL28" s="22"/>
      <c r="CM28" s="125">
        <v>0.25</v>
      </c>
      <c r="CN28" s="206">
        <f>IF('Temperature Profiles'!AF27&lt;17,(-0.0076*'Temperature Profiles'!AF27+0.1245)*1000,0)</f>
        <v>0</v>
      </c>
      <c r="CO28" s="22"/>
      <c r="CP28" s="22"/>
      <c r="CQ28" s="22"/>
      <c r="CR28" s="22"/>
      <c r="CS28" s="22"/>
      <c r="CT28" s="22"/>
      <c r="CU28" s="22"/>
      <c r="CV28" s="209"/>
      <c r="CX28" s="219"/>
      <c r="CY28" s="22"/>
      <c r="CZ28" s="22"/>
      <c r="DA28" s="22"/>
      <c r="DB28" s="22"/>
      <c r="DC28" s="22"/>
      <c r="DD28" s="22"/>
      <c r="DE28" s="22"/>
      <c r="DF28" s="22"/>
      <c r="DG28" s="22"/>
      <c r="DH28" s="22"/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22"/>
      <c r="DZ28" s="22"/>
      <c r="EA28" s="22"/>
      <c r="EB28" s="125">
        <v>0.25</v>
      </c>
      <c r="EC28" s="241">
        <f>IF('Temperature Profiles'!AA27&gt;17,(0.0043*('Temperature Profiles'!AA27^2)-0.1116*'Temperature Profiles'!AA27+0.6576)*1000,IF('Temperature Profiles'!AA27&lt;17,(0.0053*('Temperature Profiles'!AA27^2)-0.1876*'Temperature Profiles'!AA27+1.7649)*1000,0))</f>
        <v>1654.2480000000003</v>
      </c>
      <c r="ED28" s="22"/>
      <c r="EE28" s="22"/>
      <c r="EF28" s="22"/>
      <c r="EG28" s="22"/>
      <c r="EH28" s="22"/>
      <c r="EI28" s="125">
        <v>0.25</v>
      </c>
      <c r="EJ28" s="243">
        <f>IF('Temperature Profiles'!AF27&gt;17,(0.0043*('Temperature Profiles'!AF27^2)-0.1116*'Temperature Profiles'!AF27+0.6576)*1000,IF('Temperature Profiles'!AF27&lt;17,(0.0053*('Temperature Profiles'!AF27^2)-0.1876*'Temperature Profiles'!AF27+1.7649)*1000,0))</f>
        <v>543.0951944444447</v>
      </c>
      <c r="EK28" s="22"/>
      <c r="EL28" s="22"/>
      <c r="EM28" s="22"/>
      <c r="EN28" s="22"/>
      <c r="EO28" s="22"/>
      <c r="EP28" s="22"/>
      <c r="EQ28" s="22"/>
      <c r="ER28" s="209"/>
    </row>
    <row r="29" spans="1:148" x14ac:dyDescent="0.3">
      <c r="A29" s="123">
        <v>0.25</v>
      </c>
      <c r="B29" s="259">
        <f t="shared" si="0"/>
        <v>0</v>
      </c>
      <c r="C29" s="22">
        <f t="shared" si="1"/>
        <v>0</v>
      </c>
      <c r="D29" s="21">
        <f t="shared" si="2"/>
        <v>0</v>
      </c>
      <c r="F29" s="219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125">
        <v>0.26041666666666669</v>
      </c>
      <c r="AK29" s="233">
        <f>IF('Temperature Profiles'!AA28&gt;17,(0.005*('Temperature Profiles'!AA28^2) - 0.1517*'Temperature Profiles'!AA28 + 1.1701)*1000,0)</f>
        <v>0</v>
      </c>
      <c r="AL29" s="22"/>
      <c r="AM29" s="22"/>
      <c r="AN29" s="22"/>
      <c r="AO29" s="22"/>
      <c r="AP29" s="22"/>
      <c r="AQ29" s="125">
        <v>0.26041666666666669</v>
      </c>
      <c r="AR29" s="211">
        <f>IF('Temperature Profiles'!AF28&gt;17,(0.005*('Temperature Profiles'!AF28^2) - 0.1517*'Temperature Profiles'!AF28 + 1.1702)*1000,0)</f>
        <v>559.14284722222214</v>
      </c>
      <c r="AS29" s="22"/>
      <c r="AT29" s="22"/>
      <c r="AU29" s="22"/>
      <c r="AV29" s="22"/>
      <c r="AW29" s="22"/>
      <c r="AX29" s="22"/>
      <c r="AY29" s="22"/>
      <c r="AZ29" s="209"/>
      <c r="BB29" s="219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  <c r="CD29" s="22"/>
      <c r="CE29" s="22"/>
      <c r="CF29" s="125">
        <v>0.26041666666666669</v>
      </c>
      <c r="CG29" s="206">
        <f>IF('Temperature Profiles'!AA28&lt;17,(-0.0076*'Temperature Profiles'!AA28+0.1245)*1000,0)</f>
        <v>119.94000000000001</v>
      </c>
      <c r="CH29" s="22"/>
      <c r="CI29" s="22"/>
      <c r="CJ29" s="22"/>
      <c r="CK29" s="22"/>
      <c r="CL29" s="22"/>
      <c r="CM29" s="125">
        <v>0.26041666666666669</v>
      </c>
      <c r="CN29" s="206">
        <f>IF('Temperature Profiles'!AF28&lt;17,(-0.0076*'Temperature Profiles'!AF28+0.1245)*1000,0)</f>
        <v>0</v>
      </c>
      <c r="CO29" s="22"/>
      <c r="CP29" s="22"/>
      <c r="CQ29" s="22"/>
      <c r="CR29" s="22"/>
      <c r="CS29" s="22"/>
      <c r="CT29" s="22"/>
      <c r="CU29" s="22"/>
      <c r="CV29" s="209"/>
      <c r="CX29" s="219"/>
      <c r="CY29" s="22"/>
      <c r="CZ29" s="22"/>
      <c r="DA29" s="22"/>
      <c r="DB29" s="22"/>
      <c r="DC29" s="22"/>
      <c r="DD29" s="22"/>
      <c r="DE29" s="22"/>
      <c r="DF29" s="22"/>
      <c r="DG29" s="22"/>
      <c r="DH29" s="22"/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22"/>
      <c r="DZ29" s="22"/>
      <c r="EA29" s="22"/>
      <c r="EB29" s="125">
        <v>0.26041666666666669</v>
      </c>
      <c r="EC29" s="241">
        <f>IF('Temperature Profiles'!AA28&gt;17,(0.0043*('Temperature Profiles'!AA28^2)-0.1116*'Temperature Profiles'!AA28+0.6576)*1000,IF('Temperature Profiles'!AA28&lt;17,(0.0053*('Temperature Profiles'!AA28^2)-0.1876*'Temperature Profiles'!AA28+1.7649)*1000,0))</f>
        <v>1654.2480000000003</v>
      </c>
      <c r="ED29" s="22"/>
      <c r="EE29" s="22"/>
      <c r="EF29" s="22"/>
      <c r="EG29" s="22"/>
      <c r="EH29" s="22"/>
      <c r="EI29" s="125">
        <v>0.26041666666666669</v>
      </c>
      <c r="EJ29" s="243">
        <f>IF('Temperature Profiles'!AF28&gt;17,(0.0043*('Temperature Profiles'!AF28^2)-0.1116*'Temperature Profiles'!AF28+0.6576)*1000,IF('Temperature Profiles'!AF28&lt;17,(0.0053*('Temperature Profiles'!AF28^2)-0.1876*'Temperature Profiles'!AF28+1.7649)*1000,0))</f>
        <v>614.17213194444423</v>
      </c>
      <c r="EK29" s="22"/>
      <c r="EL29" s="22"/>
      <c r="EM29" s="22"/>
      <c r="EN29" s="22"/>
      <c r="EO29" s="22"/>
      <c r="EP29" s="22"/>
      <c r="EQ29" s="22"/>
      <c r="ER29" s="209"/>
    </row>
    <row r="30" spans="1:148" x14ac:dyDescent="0.3">
      <c r="A30" s="123">
        <v>0.26041666666666669</v>
      </c>
      <c r="B30" s="259">
        <f t="shared" si="0"/>
        <v>0</v>
      </c>
      <c r="C30" s="22">
        <f t="shared" si="1"/>
        <v>0</v>
      </c>
      <c r="D30" s="21">
        <f t="shared" si="2"/>
        <v>0</v>
      </c>
      <c r="F30" s="219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125">
        <v>0.27083333333333331</v>
      </c>
      <c r="AK30" s="233">
        <f>IF('Temperature Profiles'!AA29&gt;17,(0.005*('Temperature Profiles'!AA29^2) - 0.1517*'Temperature Profiles'!AA29 + 1.1701)*1000,0)</f>
        <v>0</v>
      </c>
      <c r="AL30" s="22"/>
      <c r="AM30" s="22"/>
      <c r="AN30" s="22"/>
      <c r="AO30" s="22"/>
      <c r="AP30" s="22"/>
      <c r="AQ30" s="125">
        <v>0.27083333333333331</v>
      </c>
      <c r="AR30" s="211">
        <f>IF('Temperature Profiles'!AF29&gt;17,(0.005*('Temperature Profiles'!AF29^2) - 0.1517*'Temperature Profiles'!AF29 + 1.1702)*1000,0)</f>
        <v>559.14284722222214</v>
      </c>
      <c r="AS30" s="22"/>
      <c r="AT30" s="22"/>
      <c r="AU30" s="22"/>
      <c r="AV30" s="22"/>
      <c r="AW30" s="22"/>
      <c r="AX30" s="22"/>
      <c r="AY30" s="22"/>
      <c r="AZ30" s="209"/>
      <c r="BB30" s="219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  <c r="CD30" s="22"/>
      <c r="CE30" s="22"/>
      <c r="CF30" s="125">
        <v>0.27083333333333331</v>
      </c>
      <c r="CG30" s="206">
        <f>IF('Temperature Profiles'!AA29&lt;17,(-0.0076*'Temperature Profiles'!AA29+0.1245)*1000,0)</f>
        <v>119.94000000000001</v>
      </c>
      <c r="CH30" s="22"/>
      <c r="CI30" s="22"/>
      <c r="CJ30" s="22"/>
      <c r="CK30" s="22"/>
      <c r="CL30" s="22"/>
      <c r="CM30" s="125">
        <v>0.27083333333333331</v>
      </c>
      <c r="CN30" s="206">
        <f>IF('Temperature Profiles'!AF29&lt;17,(-0.0076*'Temperature Profiles'!AF29+0.1245)*1000,0)</f>
        <v>0</v>
      </c>
      <c r="CO30" s="22"/>
      <c r="CP30" s="22"/>
      <c r="CQ30" s="22"/>
      <c r="CR30" s="22"/>
      <c r="CS30" s="22"/>
      <c r="CT30" s="22"/>
      <c r="CU30" s="22"/>
      <c r="CV30" s="209"/>
      <c r="CX30" s="219"/>
      <c r="CY30" s="22"/>
      <c r="CZ30" s="22"/>
      <c r="DA30" s="22"/>
      <c r="DB30" s="22"/>
      <c r="DC30" s="22"/>
      <c r="DD30" s="22"/>
      <c r="DE30" s="22"/>
      <c r="DF30" s="22"/>
      <c r="DG30" s="22"/>
      <c r="DH30" s="22"/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22"/>
      <c r="DZ30" s="22"/>
      <c r="EA30" s="22"/>
      <c r="EB30" s="125">
        <v>0.27083333333333331</v>
      </c>
      <c r="EC30" s="241">
        <f>IF('Temperature Profiles'!AA29&gt;17,(0.0043*('Temperature Profiles'!AA29^2)-0.1116*'Temperature Profiles'!AA29+0.6576)*1000,IF('Temperature Profiles'!AA29&lt;17,(0.0053*('Temperature Profiles'!AA29^2)-0.1876*'Temperature Profiles'!AA29+1.7649)*1000,0))</f>
        <v>1654.2480000000003</v>
      </c>
      <c r="ED30" s="22"/>
      <c r="EE30" s="22"/>
      <c r="EF30" s="22"/>
      <c r="EG30" s="22"/>
      <c r="EH30" s="22"/>
      <c r="EI30" s="125">
        <v>0.27083333333333331</v>
      </c>
      <c r="EJ30" s="243">
        <f>IF('Temperature Profiles'!AF29&gt;17,(0.0043*('Temperature Profiles'!AF29^2)-0.1116*'Temperature Profiles'!AF29+0.6576)*1000,IF('Temperature Profiles'!AF29&lt;17,(0.0053*('Temperature Profiles'!AF29^2)-0.1876*'Temperature Profiles'!AF29+1.7649)*1000,0))</f>
        <v>614.17213194444423</v>
      </c>
      <c r="EK30" s="22"/>
      <c r="EL30" s="22"/>
      <c r="EM30" s="22"/>
      <c r="EN30" s="22"/>
      <c r="EO30" s="22"/>
      <c r="EP30" s="22"/>
      <c r="EQ30" s="22"/>
      <c r="ER30" s="209"/>
    </row>
    <row r="31" spans="1:148" x14ac:dyDescent="0.3">
      <c r="A31" s="123">
        <v>0.27083333333333331</v>
      </c>
      <c r="B31" s="259">
        <f t="shared" si="0"/>
        <v>0</v>
      </c>
      <c r="C31" s="22">
        <f t="shared" si="1"/>
        <v>0</v>
      </c>
      <c r="D31" s="21">
        <f t="shared" si="2"/>
        <v>0</v>
      </c>
      <c r="F31" s="219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125">
        <v>0.28125</v>
      </c>
      <c r="AK31" s="233">
        <f>IF('Temperature Profiles'!AA30&gt;17,(0.005*('Temperature Profiles'!AA30^2) - 0.1517*'Temperature Profiles'!AA30 + 1.1701)*1000,0)</f>
        <v>0</v>
      </c>
      <c r="AL31" s="22"/>
      <c r="AM31" s="22"/>
      <c r="AN31" s="22"/>
      <c r="AO31" s="22"/>
      <c r="AP31" s="22"/>
      <c r="AQ31" s="125">
        <v>0.28125</v>
      </c>
      <c r="AR31" s="211">
        <f>IF('Temperature Profiles'!AF30&gt;17,(0.005*('Temperature Profiles'!AF30^2) - 0.1517*'Temperature Profiles'!AF30 + 1.1702)*1000,0)</f>
        <v>559.14284722222214</v>
      </c>
      <c r="AS31" s="22"/>
      <c r="AT31" s="22"/>
      <c r="AU31" s="22"/>
      <c r="AV31" s="22"/>
      <c r="AW31" s="22"/>
      <c r="AX31" s="22"/>
      <c r="AY31" s="22"/>
      <c r="AZ31" s="209"/>
      <c r="BB31" s="219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  <c r="CD31" s="22"/>
      <c r="CE31" s="22"/>
      <c r="CF31" s="125">
        <v>0.28125</v>
      </c>
      <c r="CG31" s="206">
        <f>IF('Temperature Profiles'!AA30&lt;17,(-0.0076*'Temperature Profiles'!AA30+0.1245)*1000,0)</f>
        <v>119.94000000000001</v>
      </c>
      <c r="CH31" s="22"/>
      <c r="CI31" s="22"/>
      <c r="CJ31" s="22"/>
      <c r="CK31" s="22"/>
      <c r="CL31" s="22"/>
      <c r="CM31" s="125">
        <v>0.28125</v>
      </c>
      <c r="CN31" s="206">
        <f>IF('Temperature Profiles'!AF30&lt;17,(-0.0076*'Temperature Profiles'!AF30+0.1245)*1000,0)</f>
        <v>0</v>
      </c>
      <c r="CO31" s="22"/>
      <c r="CP31" s="22"/>
      <c r="CQ31" s="22"/>
      <c r="CR31" s="22"/>
      <c r="CS31" s="22"/>
      <c r="CT31" s="22"/>
      <c r="CU31" s="22"/>
      <c r="CV31" s="209"/>
      <c r="CX31" s="219"/>
      <c r="CY31" s="22"/>
      <c r="CZ31" s="22"/>
      <c r="DA31" s="22"/>
      <c r="DB31" s="22"/>
      <c r="DC31" s="22"/>
      <c r="DD31" s="22"/>
      <c r="DE31" s="22"/>
      <c r="DF31" s="22"/>
      <c r="DG31" s="22"/>
      <c r="DH31" s="22"/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22"/>
      <c r="DZ31" s="22"/>
      <c r="EA31" s="22"/>
      <c r="EB31" s="125">
        <v>0.28125</v>
      </c>
      <c r="EC31" s="241">
        <f>IF('Temperature Profiles'!AA30&gt;17,(0.0043*('Temperature Profiles'!AA30^2)-0.1116*'Temperature Profiles'!AA30+0.6576)*1000,IF('Temperature Profiles'!AA30&lt;17,(0.0053*('Temperature Profiles'!AA30^2)-0.1876*'Temperature Profiles'!AA30+1.7649)*1000,0))</f>
        <v>1654.2480000000003</v>
      </c>
      <c r="ED31" s="22"/>
      <c r="EE31" s="22"/>
      <c r="EF31" s="22"/>
      <c r="EG31" s="22"/>
      <c r="EH31" s="22"/>
      <c r="EI31" s="125">
        <v>0.28125</v>
      </c>
      <c r="EJ31" s="243">
        <f>IF('Temperature Profiles'!AF30&gt;17,(0.0043*('Temperature Profiles'!AF30^2)-0.1116*'Temperature Profiles'!AF30+0.6576)*1000,IF('Temperature Profiles'!AF30&lt;17,(0.0053*('Temperature Profiles'!AF30^2)-0.1876*'Temperature Profiles'!AF30+1.7649)*1000,0))</f>
        <v>614.17213194444423</v>
      </c>
      <c r="EK31" s="22"/>
      <c r="EL31" s="22"/>
      <c r="EM31" s="22"/>
      <c r="EN31" s="22"/>
      <c r="EO31" s="22"/>
      <c r="EP31" s="22"/>
      <c r="EQ31" s="22"/>
      <c r="ER31" s="209"/>
    </row>
    <row r="32" spans="1:148" x14ac:dyDescent="0.3">
      <c r="A32" s="123">
        <v>0.28125</v>
      </c>
      <c r="B32" s="259">
        <f t="shared" si="0"/>
        <v>0</v>
      </c>
      <c r="C32" s="22">
        <f t="shared" si="1"/>
        <v>0</v>
      </c>
      <c r="D32" s="21">
        <f t="shared" si="2"/>
        <v>0</v>
      </c>
      <c r="F32" s="219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125">
        <v>0.29166666666666669</v>
      </c>
      <c r="AK32" s="233">
        <f>IF('Temperature Profiles'!AA31&gt;17,(0.005*('Temperature Profiles'!AA31^2) - 0.1517*'Temperature Profiles'!AA31 + 1.1701)*1000,0)</f>
        <v>0</v>
      </c>
      <c r="AL32" s="22"/>
      <c r="AM32" s="22"/>
      <c r="AN32" s="22"/>
      <c r="AO32" s="22"/>
      <c r="AP32" s="22"/>
      <c r="AQ32" s="125">
        <v>0.29166666666666669</v>
      </c>
      <c r="AR32" s="211">
        <f>IF('Temperature Profiles'!AF31&gt;17,(0.005*('Temperature Profiles'!AF31^2) - 0.1517*'Temperature Profiles'!AF31 + 1.1702)*1000,0)</f>
        <v>559.14284722222214</v>
      </c>
      <c r="AS32" s="22"/>
      <c r="AT32" s="22"/>
      <c r="AU32" s="22"/>
      <c r="AV32" s="22"/>
      <c r="AW32" s="22"/>
      <c r="AX32" s="22"/>
      <c r="AY32" s="22"/>
      <c r="AZ32" s="209"/>
      <c r="BB32" s="219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  <c r="CD32" s="22"/>
      <c r="CE32" s="22"/>
      <c r="CF32" s="125">
        <v>0.29166666666666669</v>
      </c>
      <c r="CG32" s="206">
        <f>IF('Temperature Profiles'!AA31&lt;17,(-0.0076*'Temperature Profiles'!AA31+0.1245)*1000,0)</f>
        <v>119.94000000000001</v>
      </c>
      <c r="CH32" s="22"/>
      <c r="CI32" s="22"/>
      <c r="CJ32" s="22"/>
      <c r="CK32" s="22"/>
      <c r="CL32" s="22"/>
      <c r="CM32" s="125">
        <v>0.29166666666666669</v>
      </c>
      <c r="CN32" s="206">
        <f>IF('Temperature Profiles'!AF31&lt;17,(-0.0076*'Temperature Profiles'!AF31+0.1245)*1000,0)</f>
        <v>0</v>
      </c>
      <c r="CO32" s="22"/>
      <c r="CP32" s="22"/>
      <c r="CQ32" s="22"/>
      <c r="CR32" s="22"/>
      <c r="CS32" s="22"/>
      <c r="CT32" s="22"/>
      <c r="CU32" s="22"/>
      <c r="CV32" s="209"/>
      <c r="CX32" s="219"/>
      <c r="CY32" s="22"/>
      <c r="CZ32" s="22"/>
      <c r="DA32" s="22"/>
      <c r="DB32" s="22"/>
      <c r="DC32" s="22"/>
      <c r="DD32" s="22"/>
      <c r="DE32" s="22"/>
      <c r="DF32" s="22"/>
      <c r="DG32" s="22"/>
      <c r="DH32" s="22"/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22"/>
      <c r="DZ32" s="22"/>
      <c r="EA32" s="22"/>
      <c r="EB32" s="125">
        <v>0.29166666666666669</v>
      </c>
      <c r="EC32" s="241">
        <f>IF('Temperature Profiles'!AA31&gt;17,(0.0043*('Temperature Profiles'!AA31^2)-0.1116*'Temperature Profiles'!AA31+0.6576)*1000,IF('Temperature Profiles'!AA31&lt;17,(0.0053*('Temperature Profiles'!AA31^2)-0.1876*'Temperature Profiles'!AA31+1.7649)*1000,0))</f>
        <v>1654.2480000000003</v>
      </c>
      <c r="ED32" s="22"/>
      <c r="EE32" s="22"/>
      <c r="EF32" s="22"/>
      <c r="EG32" s="22"/>
      <c r="EH32" s="22"/>
      <c r="EI32" s="125">
        <v>0.29166666666666669</v>
      </c>
      <c r="EJ32" s="243">
        <f>IF('Temperature Profiles'!AF31&gt;17,(0.0043*('Temperature Profiles'!AF31^2)-0.1116*'Temperature Profiles'!AF31+0.6576)*1000,IF('Temperature Profiles'!AF31&lt;17,(0.0053*('Temperature Profiles'!AF31^2)-0.1876*'Temperature Profiles'!AF31+1.7649)*1000,0))</f>
        <v>614.17213194444423</v>
      </c>
      <c r="EK32" s="22"/>
      <c r="EL32" s="22"/>
      <c r="EM32" s="22"/>
      <c r="EN32" s="22"/>
      <c r="EO32" s="22"/>
      <c r="EP32" s="22"/>
      <c r="EQ32" s="22"/>
      <c r="ER32" s="209"/>
    </row>
    <row r="33" spans="1:148" x14ac:dyDescent="0.3">
      <c r="A33" s="123">
        <v>0.29166666666666669</v>
      </c>
      <c r="B33" s="259">
        <f t="shared" si="0"/>
        <v>0</v>
      </c>
      <c r="C33" s="22">
        <f t="shared" si="1"/>
        <v>0</v>
      </c>
      <c r="D33" s="21">
        <f t="shared" si="2"/>
        <v>0</v>
      </c>
      <c r="F33" s="219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125">
        <v>0.30208333333333331</v>
      </c>
      <c r="AK33" s="233">
        <f>IF('Temperature Profiles'!AA32&gt;17,(0.005*('Temperature Profiles'!AA32^2) - 0.1517*'Temperature Profiles'!AA32 + 1.1701)*1000,0)</f>
        <v>0</v>
      </c>
      <c r="AL33" s="22"/>
      <c r="AM33" s="22"/>
      <c r="AN33" s="22"/>
      <c r="AO33" s="22"/>
      <c r="AP33" s="22"/>
      <c r="AQ33" s="125">
        <v>0.30208333333333331</v>
      </c>
      <c r="AR33" s="211">
        <f>IF('Temperature Profiles'!AF32&gt;17,(0.005*('Temperature Profiles'!AF32^2) - 0.1517*'Temperature Profiles'!AF32 + 1.1702)*1000,0)</f>
        <v>604.19638888888858</v>
      </c>
      <c r="AS33" s="22"/>
      <c r="AT33" s="22"/>
      <c r="AU33" s="22"/>
      <c r="AV33" s="22"/>
      <c r="AW33" s="22"/>
      <c r="AX33" s="22"/>
      <c r="AY33" s="22"/>
      <c r="AZ33" s="209"/>
      <c r="BB33" s="219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  <c r="CD33" s="22"/>
      <c r="CE33" s="22"/>
      <c r="CF33" s="125">
        <v>0.30208333333333331</v>
      </c>
      <c r="CG33" s="206">
        <f>IF('Temperature Profiles'!AA32&lt;17,(-0.0076*'Temperature Profiles'!AA32+0.1245)*1000,0)</f>
        <v>118.61</v>
      </c>
      <c r="CH33" s="22"/>
      <c r="CI33" s="22"/>
      <c r="CJ33" s="22"/>
      <c r="CK33" s="22"/>
      <c r="CL33" s="22"/>
      <c r="CM33" s="125">
        <v>0.30208333333333331</v>
      </c>
      <c r="CN33" s="206">
        <f>IF('Temperature Profiles'!AF32&lt;17,(-0.0076*'Temperature Profiles'!AF32+0.1245)*1000,0)</f>
        <v>0</v>
      </c>
      <c r="CO33" s="22"/>
      <c r="CP33" s="22"/>
      <c r="CQ33" s="22"/>
      <c r="CR33" s="22"/>
      <c r="CS33" s="22"/>
      <c r="CT33" s="22"/>
      <c r="CU33" s="22"/>
      <c r="CV33" s="209"/>
      <c r="CX33" s="219"/>
      <c r="CY33" s="22"/>
      <c r="CZ33" s="22"/>
      <c r="DA33" s="22"/>
      <c r="DB33" s="22"/>
      <c r="DC33" s="22"/>
      <c r="DD33" s="22"/>
      <c r="DE33" s="22"/>
      <c r="DF33" s="22"/>
      <c r="DG33" s="22"/>
      <c r="DH33" s="22"/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22"/>
      <c r="DZ33" s="22"/>
      <c r="EA33" s="22"/>
      <c r="EB33" s="125">
        <v>0.30208333333333331</v>
      </c>
      <c r="EC33" s="241">
        <f>IF('Temperature Profiles'!AA32&gt;17,(0.0043*('Temperature Profiles'!AA32^2)-0.1116*'Temperature Profiles'!AA32+0.6576)*1000,IF('Temperature Profiles'!AA32&lt;17,(0.0053*('Temperature Profiles'!AA32^2)-0.1876*'Temperature Profiles'!AA32+1.7649)*1000,0))</f>
        <v>1622.6933124999996</v>
      </c>
      <c r="ED33" s="22"/>
      <c r="EE33" s="22"/>
      <c r="EF33" s="22"/>
      <c r="EG33" s="22"/>
      <c r="EH33" s="22"/>
      <c r="EI33" s="125">
        <v>0.30208333333333331</v>
      </c>
      <c r="EJ33" s="243">
        <f>IF('Temperature Profiles'!AF32&gt;17,(0.0043*('Temperature Profiles'!AF32^2)-0.1116*'Temperature Profiles'!AF32+0.6576)*1000,IF('Temperature Profiles'!AF32&lt;17,(0.0053*('Temperature Profiles'!AF32^2)-0.1876*'Temperature Profiles'!AF32+1.7649)*1000,0))</f>
        <v>660.93452777777713</v>
      </c>
      <c r="EK33" s="22"/>
      <c r="EL33" s="22"/>
      <c r="EM33" s="22"/>
      <c r="EN33" s="22"/>
      <c r="EO33" s="22"/>
      <c r="EP33" s="22"/>
      <c r="EQ33" s="22"/>
      <c r="ER33" s="209"/>
    </row>
    <row r="34" spans="1:148" x14ac:dyDescent="0.3">
      <c r="A34" s="123">
        <v>0.30208333333333331</v>
      </c>
      <c r="B34" s="259">
        <f t="shared" si="0"/>
        <v>0</v>
      </c>
      <c r="C34" s="22">
        <f t="shared" si="1"/>
        <v>0</v>
      </c>
      <c r="D34" s="21">
        <f t="shared" si="2"/>
        <v>0</v>
      </c>
      <c r="F34" s="219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125">
        <v>0.3125</v>
      </c>
      <c r="AK34" s="233">
        <f>IF('Temperature Profiles'!AA33&gt;17,(0.005*('Temperature Profiles'!AA33^2) - 0.1517*'Temperature Profiles'!AA33 + 1.1701)*1000,0)</f>
        <v>0</v>
      </c>
      <c r="AL34" s="22"/>
      <c r="AM34" s="22"/>
      <c r="AN34" s="22"/>
      <c r="AO34" s="22"/>
      <c r="AP34" s="22"/>
      <c r="AQ34" s="125">
        <v>0.3125</v>
      </c>
      <c r="AR34" s="211">
        <f>IF('Temperature Profiles'!AF33&gt;17,(0.005*('Temperature Profiles'!AF33^2) - 0.1517*'Temperature Profiles'!AF33 + 1.1702)*1000,0)</f>
        <v>604.19638888888858</v>
      </c>
      <c r="AS34" s="22"/>
      <c r="AT34" s="22"/>
      <c r="AU34" s="22"/>
      <c r="AV34" s="22"/>
      <c r="AW34" s="22"/>
      <c r="AX34" s="22"/>
      <c r="AY34" s="22"/>
      <c r="AZ34" s="209"/>
      <c r="BB34" s="219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  <c r="CD34" s="22"/>
      <c r="CE34" s="22"/>
      <c r="CF34" s="125">
        <v>0.3125</v>
      </c>
      <c r="CG34" s="206">
        <f>IF('Temperature Profiles'!AA33&lt;17,(-0.0076*'Temperature Profiles'!AA33+0.1245)*1000,0)</f>
        <v>118.61</v>
      </c>
      <c r="CH34" s="22"/>
      <c r="CI34" s="22"/>
      <c r="CJ34" s="22"/>
      <c r="CK34" s="22"/>
      <c r="CL34" s="22"/>
      <c r="CM34" s="125">
        <v>0.3125</v>
      </c>
      <c r="CN34" s="206">
        <f>IF('Temperature Profiles'!AF33&lt;17,(-0.0076*'Temperature Profiles'!AF33+0.1245)*1000,0)</f>
        <v>0</v>
      </c>
      <c r="CO34" s="22"/>
      <c r="CP34" s="22"/>
      <c r="CQ34" s="22"/>
      <c r="CR34" s="22"/>
      <c r="CS34" s="22"/>
      <c r="CT34" s="22"/>
      <c r="CU34" s="22"/>
      <c r="CV34" s="209"/>
      <c r="CX34" s="219"/>
      <c r="CY34" s="22"/>
      <c r="CZ34" s="22"/>
      <c r="DA34" s="22"/>
      <c r="DB34" s="22"/>
      <c r="DC34" s="22"/>
      <c r="DD34" s="22"/>
      <c r="DE34" s="22"/>
      <c r="DF34" s="22"/>
      <c r="DG34" s="22"/>
      <c r="DH34" s="22"/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22"/>
      <c r="DZ34" s="22"/>
      <c r="EA34" s="22"/>
      <c r="EB34" s="125">
        <v>0.3125</v>
      </c>
      <c r="EC34" s="241">
        <f>IF('Temperature Profiles'!AA33&gt;17,(0.0043*('Temperature Profiles'!AA33^2)-0.1116*'Temperature Profiles'!AA33+0.6576)*1000,IF('Temperature Profiles'!AA33&lt;17,(0.0053*('Temperature Profiles'!AA33^2)-0.1876*'Temperature Profiles'!AA33+1.7649)*1000,0))</f>
        <v>1622.6933124999996</v>
      </c>
      <c r="ED34" s="22"/>
      <c r="EE34" s="22"/>
      <c r="EF34" s="22"/>
      <c r="EG34" s="22"/>
      <c r="EH34" s="22"/>
      <c r="EI34" s="125">
        <v>0.3125</v>
      </c>
      <c r="EJ34" s="243">
        <f>IF('Temperature Profiles'!AF33&gt;17,(0.0043*('Temperature Profiles'!AF33^2)-0.1116*'Temperature Profiles'!AF33+0.6576)*1000,IF('Temperature Profiles'!AF33&lt;17,(0.0053*('Temperature Profiles'!AF33^2)-0.1876*'Temperature Profiles'!AF33+1.7649)*1000,0))</f>
        <v>660.93452777777713</v>
      </c>
      <c r="EK34" s="22"/>
      <c r="EL34" s="22"/>
      <c r="EM34" s="22"/>
      <c r="EN34" s="22"/>
      <c r="EO34" s="22"/>
      <c r="EP34" s="22"/>
      <c r="EQ34" s="22"/>
      <c r="ER34" s="209"/>
    </row>
    <row r="35" spans="1:148" x14ac:dyDescent="0.3">
      <c r="A35" s="123">
        <v>0.3125</v>
      </c>
      <c r="B35" s="259">
        <f t="shared" si="0"/>
        <v>0</v>
      </c>
      <c r="C35" s="22">
        <f t="shared" si="1"/>
        <v>0</v>
      </c>
      <c r="D35" s="21">
        <f t="shared" si="2"/>
        <v>0</v>
      </c>
      <c r="F35" s="219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125">
        <v>0.32291666666666669</v>
      </c>
      <c r="AK35" s="233">
        <f>IF('Temperature Profiles'!AA34&gt;17,(0.005*('Temperature Profiles'!AA34^2) - 0.1517*'Temperature Profiles'!AA34 + 1.1701)*1000,0)</f>
        <v>0</v>
      </c>
      <c r="AL35" s="22"/>
      <c r="AM35" s="22"/>
      <c r="AN35" s="22"/>
      <c r="AO35" s="22"/>
      <c r="AP35" s="22"/>
      <c r="AQ35" s="125">
        <v>0.32291666666666669</v>
      </c>
      <c r="AR35" s="211">
        <f>IF('Temperature Profiles'!AF34&gt;17,(0.005*('Temperature Profiles'!AF34^2) - 0.1517*'Temperature Profiles'!AF34 + 1.1702)*1000,0)</f>
        <v>604.19638888888858</v>
      </c>
      <c r="AS35" s="22"/>
      <c r="AT35" s="22"/>
      <c r="AU35" s="22"/>
      <c r="AV35" s="22"/>
      <c r="AW35" s="22"/>
      <c r="AX35" s="22"/>
      <c r="AY35" s="22"/>
      <c r="AZ35" s="209"/>
      <c r="BB35" s="219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  <c r="CD35" s="22"/>
      <c r="CE35" s="22"/>
      <c r="CF35" s="125">
        <v>0.32291666666666669</v>
      </c>
      <c r="CG35" s="206">
        <f>IF('Temperature Profiles'!AA34&lt;17,(-0.0076*'Temperature Profiles'!AA34+0.1245)*1000,0)</f>
        <v>118.61</v>
      </c>
      <c r="CH35" s="22"/>
      <c r="CI35" s="22"/>
      <c r="CJ35" s="22"/>
      <c r="CK35" s="22"/>
      <c r="CL35" s="22"/>
      <c r="CM35" s="125">
        <v>0.32291666666666669</v>
      </c>
      <c r="CN35" s="206">
        <f>IF('Temperature Profiles'!AF34&lt;17,(-0.0076*'Temperature Profiles'!AF34+0.1245)*1000,0)</f>
        <v>0</v>
      </c>
      <c r="CO35" s="22"/>
      <c r="CP35" s="22"/>
      <c r="CQ35" s="22"/>
      <c r="CR35" s="22"/>
      <c r="CS35" s="22"/>
      <c r="CT35" s="22"/>
      <c r="CU35" s="22"/>
      <c r="CV35" s="209"/>
      <c r="CX35" s="219"/>
      <c r="CY35" s="22"/>
      <c r="CZ35" s="22"/>
      <c r="DA35" s="22"/>
      <c r="DB35" s="22"/>
      <c r="DC35" s="22"/>
      <c r="DD35" s="22"/>
      <c r="DE35" s="22"/>
      <c r="DF35" s="22"/>
      <c r="DG35" s="22"/>
      <c r="DH35" s="22"/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22"/>
      <c r="DZ35" s="22"/>
      <c r="EA35" s="22"/>
      <c r="EB35" s="125">
        <v>0.32291666666666669</v>
      </c>
      <c r="EC35" s="241">
        <f>IF('Temperature Profiles'!AA34&gt;17,(0.0043*('Temperature Profiles'!AA34^2)-0.1116*'Temperature Profiles'!AA34+0.6576)*1000,IF('Temperature Profiles'!AA34&lt;17,(0.0053*('Temperature Profiles'!AA34^2)-0.1876*'Temperature Profiles'!AA34+1.7649)*1000,0))</f>
        <v>1622.6933124999996</v>
      </c>
      <c r="ED35" s="22"/>
      <c r="EE35" s="22"/>
      <c r="EF35" s="22"/>
      <c r="EG35" s="22"/>
      <c r="EH35" s="22"/>
      <c r="EI35" s="125">
        <v>0.32291666666666669</v>
      </c>
      <c r="EJ35" s="243">
        <f>IF('Temperature Profiles'!AF34&gt;17,(0.0043*('Temperature Profiles'!AF34^2)-0.1116*'Temperature Profiles'!AF34+0.6576)*1000,IF('Temperature Profiles'!AF34&lt;17,(0.0053*('Temperature Profiles'!AF34^2)-0.1876*'Temperature Profiles'!AF34+1.7649)*1000,0))</f>
        <v>660.93452777777713</v>
      </c>
      <c r="EK35" s="22"/>
      <c r="EL35" s="22"/>
      <c r="EM35" s="22"/>
      <c r="EN35" s="22"/>
      <c r="EO35" s="22"/>
      <c r="EP35" s="22"/>
      <c r="EQ35" s="22"/>
      <c r="ER35" s="209"/>
    </row>
    <row r="36" spans="1:148" x14ac:dyDescent="0.3">
      <c r="A36" s="123">
        <v>0.32291666666666669</v>
      </c>
      <c r="B36" s="259">
        <f t="shared" si="0"/>
        <v>0</v>
      </c>
      <c r="C36" s="22">
        <f t="shared" si="1"/>
        <v>0</v>
      </c>
      <c r="D36" s="21">
        <f t="shared" si="2"/>
        <v>0</v>
      </c>
      <c r="F36" s="219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125">
        <v>0.33333333333333331</v>
      </c>
      <c r="AK36" s="233">
        <f>IF('Temperature Profiles'!AA35&gt;17,(0.005*('Temperature Profiles'!AA35^2) - 0.1517*'Temperature Profiles'!AA35 + 1.1701)*1000,0)</f>
        <v>0</v>
      </c>
      <c r="AL36" s="22"/>
      <c r="AM36" s="22"/>
      <c r="AN36" s="22"/>
      <c r="AO36" s="22"/>
      <c r="AP36" s="22"/>
      <c r="AQ36" s="125">
        <v>0.33333333333333331</v>
      </c>
      <c r="AR36" s="211">
        <f>IF('Temperature Profiles'!AF35&gt;17,(0.005*('Temperature Profiles'!AF35^2) - 0.1517*'Temperature Profiles'!AF35 + 1.1702)*1000,0)</f>
        <v>604.19638888888858</v>
      </c>
      <c r="AS36" s="22"/>
      <c r="AT36" s="22"/>
      <c r="AU36" s="22"/>
      <c r="AV36" s="22"/>
      <c r="AW36" s="22"/>
      <c r="AX36" s="22"/>
      <c r="AY36" s="22"/>
      <c r="AZ36" s="209"/>
      <c r="BB36" s="219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  <c r="CD36" s="22"/>
      <c r="CE36" s="22"/>
      <c r="CF36" s="125">
        <v>0.33333333333333331</v>
      </c>
      <c r="CG36" s="206">
        <f>IF('Temperature Profiles'!AA35&lt;17,(-0.0076*'Temperature Profiles'!AA35+0.1245)*1000,0)</f>
        <v>118.61</v>
      </c>
      <c r="CH36" s="22"/>
      <c r="CI36" s="22"/>
      <c r="CJ36" s="22"/>
      <c r="CK36" s="22"/>
      <c r="CL36" s="22"/>
      <c r="CM36" s="125">
        <v>0.33333333333333331</v>
      </c>
      <c r="CN36" s="206">
        <f>IF('Temperature Profiles'!AF35&lt;17,(-0.0076*'Temperature Profiles'!AF35+0.1245)*1000,0)</f>
        <v>0</v>
      </c>
      <c r="CO36" s="22"/>
      <c r="CP36" s="22"/>
      <c r="CQ36" s="22"/>
      <c r="CR36" s="22"/>
      <c r="CS36" s="22"/>
      <c r="CT36" s="22"/>
      <c r="CU36" s="22"/>
      <c r="CV36" s="209"/>
      <c r="CX36" s="219"/>
      <c r="CY36" s="22"/>
      <c r="CZ36" s="22"/>
      <c r="DA36" s="22"/>
      <c r="DB36" s="22"/>
      <c r="DC36" s="22"/>
      <c r="DD36" s="22"/>
      <c r="DE36" s="22"/>
      <c r="DF36" s="22"/>
      <c r="DG36" s="22"/>
      <c r="DH36" s="22"/>
      <c r="DI36" s="22"/>
      <c r="DJ36" s="22"/>
      <c r="DK36" s="22"/>
      <c r="DL36" s="22"/>
      <c r="DM36" s="22"/>
      <c r="DN36" s="22"/>
      <c r="DO36" s="22"/>
      <c r="DP36" s="22"/>
      <c r="DQ36" s="22"/>
      <c r="DR36" s="22"/>
      <c r="DS36" s="22"/>
      <c r="DT36" s="22"/>
      <c r="DU36" s="22"/>
      <c r="DV36" s="22"/>
      <c r="DW36" s="22"/>
      <c r="DX36" s="22"/>
      <c r="DY36" s="22"/>
      <c r="DZ36" s="22"/>
      <c r="EA36" s="22"/>
      <c r="EB36" s="125">
        <v>0.33333333333333331</v>
      </c>
      <c r="EC36" s="241">
        <f>IF('Temperature Profiles'!AA35&gt;17,(0.0043*('Temperature Profiles'!AA35^2)-0.1116*'Temperature Profiles'!AA35+0.6576)*1000,IF('Temperature Profiles'!AA35&lt;17,(0.0053*('Temperature Profiles'!AA35^2)-0.1876*'Temperature Profiles'!AA35+1.7649)*1000,0))</f>
        <v>1622.6933124999996</v>
      </c>
      <c r="ED36" s="22"/>
      <c r="EE36" s="22"/>
      <c r="EF36" s="22"/>
      <c r="EG36" s="22"/>
      <c r="EH36" s="22"/>
      <c r="EI36" s="125">
        <v>0.33333333333333331</v>
      </c>
      <c r="EJ36" s="243">
        <f>IF('Temperature Profiles'!AF35&gt;17,(0.0043*('Temperature Profiles'!AF35^2)-0.1116*'Temperature Profiles'!AF35+0.6576)*1000,IF('Temperature Profiles'!AF35&lt;17,(0.0053*('Temperature Profiles'!AF35^2)-0.1876*'Temperature Profiles'!AF35+1.7649)*1000,0))</f>
        <v>660.93452777777713</v>
      </c>
      <c r="EK36" s="22"/>
      <c r="EL36" s="22"/>
      <c r="EM36" s="22"/>
      <c r="EN36" s="22"/>
      <c r="EO36" s="22"/>
      <c r="EP36" s="22"/>
      <c r="EQ36" s="22"/>
      <c r="ER36" s="209"/>
    </row>
    <row r="37" spans="1:148" x14ac:dyDescent="0.3">
      <c r="A37" s="123">
        <v>0.33333333333333331</v>
      </c>
      <c r="B37" s="259">
        <f t="shared" si="0"/>
        <v>0</v>
      </c>
      <c r="C37" s="22">
        <f t="shared" si="1"/>
        <v>0</v>
      </c>
      <c r="D37" s="21">
        <f t="shared" si="2"/>
        <v>0</v>
      </c>
      <c r="F37" s="219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125">
        <v>0.34375</v>
      </c>
      <c r="AK37" s="233">
        <f>IF('Temperature Profiles'!AA36&gt;17,(0.005*('Temperature Profiles'!AA36^2) - 0.1517*'Temperature Profiles'!AA36 + 1.1701)*1000,0)</f>
        <v>0</v>
      </c>
      <c r="AL37" s="22"/>
      <c r="AM37" s="22"/>
      <c r="AN37" s="22"/>
      <c r="AO37" s="22"/>
      <c r="AP37" s="22"/>
      <c r="AQ37" s="125">
        <v>0.34375</v>
      </c>
      <c r="AR37" s="211">
        <f>IF('Temperature Profiles'!AF36&gt;17,(0.005*('Temperature Profiles'!AF36^2) - 0.1517*'Temperature Profiles'!AF36 + 1.1702)*1000,0)</f>
        <v>741.15638888888964</v>
      </c>
      <c r="AS37" s="22"/>
      <c r="AT37" s="22"/>
      <c r="AU37" s="22"/>
      <c r="AV37" s="22"/>
      <c r="AW37" s="22"/>
      <c r="AX37" s="22"/>
      <c r="AY37" s="22"/>
      <c r="AZ37" s="209"/>
      <c r="BB37" s="219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  <c r="CD37" s="22"/>
      <c r="CE37" s="22"/>
      <c r="CF37" s="125">
        <v>0.34375</v>
      </c>
      <c r="CG37" s="206">
        <f>IF('Temperature Profiles'!AA36&lt;17,(-0.0076*'Temperature Profiles'!AA36+0.1245)*1000,0)</f>
        <v>108.35</v>
      </c>
      <c r="CH37" s="22"/>
      <c r="CI37" s="22"/>
      <c r="CJ37" s="22"/>
      <c r="CK37" s="22"/>
      <c r="CL37" s="22"/>
      <c r="CM37" s="125">
        <v>0.34375</v>
      </c>
      <c r="CN37" s="206">
        <f>IF('Temperature Profiles'!AF36&lt;17,(-0.0076*'Temperature Profiles'!AF36+0.1245)*1000,0)</f>
        <v>0</v>
      </c>
      <c r="CO37" s="22"/>
      <c r="CP37" s="22"/>
      <c r="CQ37" s="22"/>
      <c r="CR37" s="22"/>
      <c r="CS37" s="22"/>
      <c r="CT37" s="22"/>
      <c r="CU37" s="22"/>
      <c r="CV37" s="209"/>
      <c r="CX37" s="219"/>
      <c r="CY37" s="22"/>
      <c r="CZ37" s="22"/>
      <c r="DA37" s="22"/>
      <c r="DB37" s="22"/>
      <c r="DC37" s="22"/>
      <c r="DD37" s="22"/>
      <c r="DE37" s="22"/>
      <c r="DF37" s="22"/>
      <c r="DG37" s="22"/>
      <c r="DH37" s="22"/>
      <c r="DI37" s="22"/>
      <c r="DJ37" s="22"/>
      <c r="DK37" s="22"/>
      <c r="DL37" s="22"/>
      <c r="DM37" s="22"/>
      <c r="DN37" s="22"/>
      <c r="DO37" s="22"/>
      <c r="DP37" s="22"/>
      <c r="DQ37" s="22"/>
      <c r="DR37" s="22"/>
      <c r="DS37" s="22"/>
      <c r="DT37" s="22"/>
      <c r="DU37" s="22"/>
      <c r="DV37" s="22"/>
      <c r="DW37" s="22"/>
      <c r="DX37" s="22"/>
      <c r="DY37" s="22"/>
      <c r="DZ37" s="22"/>
      <c r="EA37" s="22"/>
      <c r="EB37" s="125">
        <v>0.34375</v>
      </c>
      <c r="EC37" s="241">
        <f>IF('Temperature Profiles'!AA36&gt;17,(0.0043*('Temperature Profiles'!AA36^2)-0.1116*'Temperature Profiles'!AA36+0.6576)*1000,IF('Temperature Profiles'!AA36&lt;17,(0.0053*('Temperature Profiles'!AA36^2)-0.1876*'Temperature Profiles'!AA36+1.7649)*1000,0))</f>
        <v>1390.1828124999995</v>
      </c>
      <c r="ED37" s="22"/>
      <c r="EE37" s="22"/>
      <c r="EF37" s="22"/>
      <c r="EG37" s="22"/>
      <c r="EH37" s="22"/>
      <c r="EI37" s="125">
        <v>0.34375</v>
      </c>
      <c r="EJ37" s="243">
        <f>IF('Temperature Profiles'!AF36&gt;17,(0.0043*('Temperature Profiles'!AF36^2)-0.1116*'Temperature Profiles'!AF36+0.6576)*1000,IF('Temperature Profiles'!AF36&lt;17,(0.0053*('Temperature Profiles'!AF36^2)-0.1876*'Temperature Profiles'!AF36+1.7649)*1000,0))</f>
        <v>801.35452777777778</v>
      </c>
      <c r="EK37" s="22"/>
      <c r="EL37" s="22"/>
      <c r="EM37" s="22"/>
      <c r="EN37" s="22"/>
      <c r="EO37" s="22"/>
      <c r="EP37" s="22"/>
      <c r="EQ37" s="22"/>
      <c r="ER37" s="209"/>
    </row>
    <row r="38" spans="1:148" x14ac:dyDescent="0.3">
      <c r="A38" s="123">
        <v>0.34375</v>
      </c>
      <c r="B38" s="259">
        <f t="shared" si="0"/>
        <v>0</v>
      </c>
      <c r="C38" s="22">
        <f t="shared" si="1"/>
        <v>0</v>
      </c>
      <c r="D38" s="21">
        <f t="shared" si="2"/>
        <v>0</v>
      </c>
      <c r="F38" s="219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125">
        <v>0.35416666666666669</v>
      </c>
      <c r="AK38" s="233">
        <f>IF('Temperature Profiles'!AA37&gt;17,(0.005*('Temperature Profiles'!AA37^2) - 0.1517*'Temperature Profiles'!AA37 + 1.1701)*1000,0)</f>
        <v>0</v>
      </c>
      <c r="AL38" s="22"/>
      <c r="AM38" s="22"/>
      <c r="AN38" s="22"/>
      <c r="AO38" s="22"/>
      <c r="AP38" s="22"/>
      <c r="AQ38" s="125">
        <v>0.35416666666666669</v>
      </c>
      <c r="AR38" s="211">
        <f>IF('Temperature Profiles'!AF37&gt;17,(0.005*('Temperature Profiles'!AF37^2) - 0.1517*'Temperature Profiles'!AF37 + 1.1702)*1000,0)</f>
        <v>741.15638888888964</v>
      </c>
      <c r="AS38" s="22"/>
      <c r="AT38" s="22"/>
      <c r="AU38" s="22"/>
      <c r="AV38" s="22"/>
      <c r="AW38" s="22"/>
      <c r="AX38" s="22"/>
      <c r="AY38" s="22"/>
      <c r="AZ38" s="209"/>
      <c r="BB38" s="219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  <c r="CD38" s="22"/>
      <c r="CE38" s="22"/>
      <c r="CF38" s="125">
        <v>0.35416666666666669</v>
      </c>
      <c r="CG38" s="206">
        <f>IF('Temperature Profiles'!AA37&lt;17,(-0.0076*'Temperature Profiles'!AA37+0.1245)*1000,0)</f>
        <v>108.35</v>
      </c>
      <c r="CH38" s="22"/>
      <c r="CI38" s="22"/>
      <c r="CJ38" s="22"/>
      <c r="CK38" s="22"/>
      <c r="CL38" s="22"/>
      <c r="CM38" s="125">
        <v>0.35416666666666669</v>
      </c>
      <c r="CN38" s="206">
        <f>IF('Temperature Profiles'!AF37&lt;17,(-0.0076*'Temperature Profiles'!AF37+0.1245)*1000,0)</f>
        <v>0</v>
      </c>
      <c r="CO38" s="22"/>
      <c r="CP38" s="22"/>
      <c r="CQ38" s="22"/>
      <c r="CR38" s="22"/>
      <c r="CS38" s="22"/>
      <c r="CT38" s="22"/>
      <c r="CU38" s="22"/>
      <c r="CV38" s="209"/>
      <c r="CX38" s="219"/>
      <c r="CY38" s="22"/>
      <c r="CZ38" s="22"/>
      <c r="DA38" s="22"/>
      <c r="DB38" s="22"/>
      <c r="DC38" s="22"/>
      <c r="DD38" s="22"/>
      <c r="DE38" s="22"/>
      <c r="DF38" s="22"/>
      <c r="DG38" s="22"/>
      <c r="DH38" s="22"/>
      <c r="DI38" s="22"/>
      <c r="DJ38" s="22"/>
      <c r="DK38" s="22"/>
      <c r="DL38" s="22"/>
      <c r="DM38" s="22"/>
      <c r="DN38" s="22"/>
      <c r="DO38" s="22"/>
      <c r="DP38" s="22"/>
      <c r="DQ38" s="22"/>
      <c r="DR38" s="22"/>
      <c r="DS38" s="22"/>
      <c r="DT38" s="22"/>
      <c r="DU38" s="22"/>
      <c r="DV38" s="22"/>
      <c r="DW38" s="22"/>
      <c r="DX38" s="22"/>
      <c r="DY38" s="22"/>
      <c r="DZ38" s="22"/>
      <c r="EA38" s="22"/>
      <c r="EB38" s="125">
        <v>0.35416666666666669</v>
      </c>
      <c r="EC38" s="241">
        <f>IF('Temperature Profiles'!AA37&gt;17,(0.0043*('Temperature Profiles'!AA37^2)-0.1116*'Temperature Profiles'!AA37+0.6576)*1000,IF('Temperature Profiles'!AA37&lt;17,(0.0053*('Temperature Profiles'!AA37^2)-0.1876*'Temperature Profiles'!AA37+1.7649)*1000,0))</f>
        <v>1390.1828124999995</v>
      </c>
      <c r="ED38" s="22"/>
      <c r="EE38" s="22"/>
      <c r="EF38" s="22"/>
      <c r="EG38" s="22"/>
      <c r="EH38" s="22"/>
      <c r="EI38" s="125">
        <v>0.35416666666666669</v>
      </c>
      <c r="EJ38" s="243">
        <f>IF('Temperature Profiles'!AF37&gt;17,(0.0043*('Temperature Profiles'!AF37^2)-0.1116*'Temperature Profiles'!AF37+0.6576)*1000,IF('Temperature Profiles'!AF37&lt;17,(0.0053*('Temperature Profiles'!AF37^2)-0.1876*'Temperature Profiles'!AF37+1.7649)*1000,0))</f>
        <v>801.35452777777778</v>
      </c>
      <c r="EK38" s="22"/>
      <c r="EL38" s="22"/>
      <c r="EM38" s="22"/>
      <c r="EN38" s="22"/>
      <c r="EO38" s="22"/>
      <c r="EP38" s="22"/>
      <c r="EQ38" s="22"/>
      <c r="ER38" s="209"/>
    </row>
    <row r="39" spans="1:148" x14ac:dyDescent="0.3">
      <c r="A39" s="123">
        <v>0.35416666666666669</v>
      </c>
      <c r="B39" s="259">
        <f t="shared" si="0"/>
        <v>0</v>
      </c>
      <c r="C39" s="22">
        <f t="shared" si="1"/>
        <v>0</v>
      </c>
      <c r="D39" s="21">
        <f t="shared" si="2"/>
        <v>0</v>
      </c>
      <c r="F39" s="219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125">
        <v>0.36458333333333331</v>
      </c>
      <c r="AK39" s="233">
        <f>IF('Temperature Profiles'!AA38&gt;17,(0.005*('Temperature Profiles'!AA38^2) - 0.1517*'Temperature Profiles'!AA38 + 1.1701)*1000,0)</f>
        <v>0</v>
      </c>
      <c r="AL39" s="22"/>
      <c r="AM39" s="22"/>
      <c r="AN39" s="22"/>
      <c r="AO39" s="22"/>
      <c r="AP39" s="22"/>
      <c r="AQ39" s="125">
        <v>0.36458333333333331</v>
      </c>
      <c r="AR39" s="211">
        <f>IF('Temperature Profiles'!AF38&gt;17,(0.005*('Temperature Profiles'!AF38^2) - 0.1517*'Temperature Profiles'!AF38 + 1.1702)*1000,0)</f>
        <v>741.15638888888964</v>
      </c>
      <c r="AS39" s="22"/>
      <c r="AT39" s="22"/>
      <c r="AU39" s="22"/>
      <c r="AV39" s="22"/>
      <c r="AW39" s="22"/>
      <c r="AX39" s="22"/>
      <c r="AY39" s="22"/>
      <c r="AZ39" s="209"/>
      <c r="BB39" s="219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  <c r="BQ39" s="22"/>
      <c r="BR39" s="22"/>
      <c r="BS39" s="22"/>
      <c r="BT39" s="22"/>
      <c r="BU39" s="22"/>
      <c r="BV39" s="22"/>
      <c r="BW39" s="22"/>
      <c r="BX39" s="22"/>
      <c r="BY39" s="22"/>
      <c r="BZ39" s="22"/>
      <c r="CA39" s="22"/>
      <c r="CB39" s="22"/>
      <c r="CC39" s="22"/>
      <c r="CD39" s="22"/>
      <c r="CE39" s="22"/>
      <c r="CF39" s="125">
        <v>0.36458333333333331</v>
      </c>
      <c r="CG39" s="206">
        <f>IF('Temperature Profiles'!AA38&lt;17,(-0.0076*'Temperature Profiles'!AA38+0.1245)*1000,0)</f>
        <v>108.35</v>
      </c>
      <c r="CH39" s="22"/>
      <c r="CI39" s="22"/>
      <c r="CJ39" s="22"/>
      <c r="CK39" s="22"/>
      <c r="CL39" s="22"/>
      <c r="CM39" s="125">
        <v>0.36458333333333331</v>
      </c>
      <c r="CN39" s="206">
        <f>IF('Temperature Profiles'!AF38&lt;17,(-0.0076*'Temperature Profiles'!AF38+0.1245)*1000,0)</f>
        <v>0</v>
      </c>
      <c r="CO39" s="22"/>
      <c r="CP39" s="22"/>
      <c r="CQ39" s="22"/>
      <c r="CR39" s="22"/>
      <c r="CS39" s="22"/>
      <c r="CT39" s="22"/>
      <c r="CU39" s="22"/>
      <c r="CV39" s="209"/>
      <c r="CX39" s="219"/>
      <c r="CY39" s="22"/>
      <c r="CZ39" s="22"/>
      <c r="DA39" s="22"/>
      <c r="DB39" s="22"/>
      <c r="DC39" s="22"/>
      <c r="DD39" s="22"/>
      <c r="DE39" s="22"/>
      <c r="DF39" s="22"/>
      <c r="DG39" s="22"/>
      <c r="DH39" s="22"/>
      <c r="DI39" s="22"/>
      <c r="DJ39" s="22"/>
      <c r="DK39" s="22"/>
      <c r="DL39" s="22"/>
      <c r="DM39" s="22"/>
      <c r="DN39" s="22"/>
      <c r="DO39" s="22"/>
      <c r="DP39" s="22"/>
      <c r="DQ39" s="22"/>
      <c r="DR39" s="22"/>
      <c r="DS39" s="22"/>
      <c r="DT39" s="22"/>
      <c r="DU39" s="22"/>
      <c r="DV39" s="22"/>
      <c r="DW39" s="22"/>
      <c r="DX39" s="22"/>
      <c r="DY39" s="22"/>
      <c r="DZ39" s="22"/>
      <c r="EA39" s="22"/>
      <c r="EB39" s="125">
        <v>0.36458333333333331</v>
      </c>
      <c r="EC39" s="241">
        <f>IF('Temperature Profiles'!AA38&gt;17,(0.0043*('Temperature Profiles'!AA38^2)-0.1116*'Temperature Profiles'!AA38+0.6576)*1000,IF('Temperature Profiles'!AA38&lt;17,(0.0053*('Temperature Profiles'!AA38^2)-0.1876*'Temperature Profiles'!AA38+1.7649)*1000,0))</f>
        <v>1390.1828124999995</v>
      </c>
      <c r="ED39" s="22"/>
      <c r="EE39" s="22"/>
      <c r="EF39" s="22"/>
      <c r="EG39" s="22"/>
      <c r="EH39" s="22"/>
      <c r="EI39" s="125">
        <v>0.36458333333333331</v>
      </c>
      <c r="EJ39" s="243">
        <f>IF('Temperature Profiles'!AF38&gt;17,(0.0043*('Temperature Profiles'!AF38^2)-0.1116*'Temperature Profiles'!AF38+0.6576)*1000,IF('Temperature Profiles'!AF38&lt;17,(0.0053*('Temperature Profiles'!AF38^2)-0.1876*'Temperature Profiles'!AF38+1.7649)*1000,0))</f>
        <v>801.35452777777778</v>
      </c>
      <c r="EK39" s="22"/>
      <c r="EL39" s="22"/>
      <c r="EM39" s="22"/>
      <c r="EN39" s="22"/>
      <c r="EO39" s="22"/>
      <c r="EP39" s="22"/>
      <c r="EQ39" s="22"/>
      <c r="ER39" s="209"/>
    </row>
    <row r="40" spans="1:148" x14ac:dyDescent="0.3">
      <c r="A40" s="123">
        <v>0.36458333333333331</v>
      </c>
      <c r="B40" s="259">
        <f t="shared" si="0"/>
        <v>0</v>
      </c>
      <c r="C40" s="22">
        <f t="shared" si="1"/>
        <v>0</v>
      </c>
      <c r="D40" s="21">
        <f t="shared" si="2"/>
        <v>0</v>
      </c>
      <c r="F40" s="219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125">
        <v>0.375</v>
      </c>
      <c r="AK40" s="233">
        <f>IF('Temperature Profiles'!AA39&gt;17,(0.005*('Temperature Profiles'!AA39^2) - 0.1517*'Temperature Profiles'!AA39 + 1.1701)*1000,0)</f>
        <v>0</v>
      </c>
      <c r="AL40" s="22"/>
      <c r="AM40" s="22"/>
      <c r="AN40" s="22"/>
      <c r="AO40" s="22"/>
      <c r="AP40" s="22"/>
      <c r="AQ40" s="125">
        <v>0.375</v>
      </c>
      <c r="AR40" s="211">
        <f>IF('Temperature Profiles'!AF39&gt;17,(0.005*('Temperature Profiles'!AF39^2) - 0.1517*'Temperature Profiles'!AF39 + 1.1702)*1000,0)</f>
        <v>741.15638888888964</v>
      </c>
      <c r="AS40" s="22"/>
      <c r="AT40" s="22"/>
      <c r="AU40" s="22"/>
      <c r="AV40" s="22"/>
      <c r="AW40" s="22"/>
      <c r="AX40" s="22"/>
      <c r="AY40" s="22"/>
      <c r="AZ40" s="209"/>
      <c r="BB40" s="219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2"/>
      <c r="BU40" s="22"/>
      <c r="BV40" s="22"/>
      <c r="BW40" s="22"/>
      <c r="BX40" s="22"/>
      <c r="BY40" s="22"/>
      <c r="BZ40" s="22"/>
      <c r="CA40" s="22"/>
      <c r="CB40" s="22"/>
      <c r="CC40" s="22"/>
      <c r="CD40" s="22"/>
      <c r="CE40" s="22"/>
      <c r="CF40" s="125">
        <v>0.375</v>
      </c>
      <c r="CG40" s="206">
        <f>IF('Temperature Profiles'!AA39&lt;17,(-0.0076*'Temperature Profiles'!AA39+0.1245)*1000,0)</f>
        <v>108.35</v>
      </c>
      <c r="CH40" s="22"/>
      <c r="CI40" s="22"/>
      <c r="CJ40" s="22"/>
      <c r="CK40" s="22"/>
      <c r="CL40" s="22"/>
      <c r="CM40" s="125">
        <v>0.375</v>
      </c>
      <c r="CN40" s="206">
        <f>IF('Temperature Profiles'!AF39&lt;17,(-0.0076*'Temperature Profiles'!AF39+0.1245)*1000,0)</f>
        <v>0</v>
      </c>
      <c r="CO40" s="22"/>
      <c r="CP40" s="22"/>
      <c r="CQ40" s="22"/>
      <c r="CR40" s="22"/>
      <c r="CS40" s="22"/>
      <c r="CT40" s="22"/>
      <c r="CU40" s="22"/>
      <c r="CV40" s="209"/>
      <c r="CX40" s="219"/>
      <c r="CY40" s="22"/>
      <c r="CZ40" s="22"/>
      <c r="DA40" s="22"/>
      <c r="DB40" s="22"/>
      <c r="DC40" s="22"/>
      <c r="DD40" s="22"/>
      <c r="DE40" s="22"/>
      <c r="DF40" s="22"/>
      <c r="DG40" s="22"/>
      <c r="DH40" s="22"/>
      <c r="DI40" s="22"/>
      <c r="DJ40" s="22"/>
      <c r="DK40" s="22"/>
      <c r="DL40" s="22"/>
      <c r="DM40" s="22"/>
      <c r="DN40" s="22"/>
      <c r="DO40" s="22"/>
      <c r="DP40" s="22"/>
      <c r="DQ40" s="22"/>
      <c r="DR40" s="22"/>
      <c r="DS40" s="22"/>
      <c r="DT40" s="22"/>
      <c r="DU40" s="22"/>
      <c r="DV40" s="22"/>
      <c r="DW40" s="22"/>
      <c r="DX40" s="22"/>
      <c r="DY40" s="22"/>
      <c r="DZ40" s="22"/>
      <c r="EA40" s="22"/>
      <c r="EB40" s="125">
        <v>0.375</v>
      </c>
      <c r="EC40" s="241">
        <f>IF('Temperature Profiles'!AA39&gt;17,(0.0043*('Temperature Profiles'!AA39^2)-0.1116*'Temperature Profiles'!AA39+0.6576)*1000,IF('Temperature Profiles'!AA39&lt;17,(0.0053*('Temperature Profiles'!AA39^2)-0.1876*'Temperature Profiles'!AA39+1.7649)*1000,0))</f>
        <v>1390.1828124999995</v>
      </c>
      <c r="ED40" s="22"/>
      <c r="EE40" s="22"/>
      <c r="EF40" s="22"/>
      <c r="EG40" s="22"/>
      <c r="EH40" s="22"/>
      <c r="EI40" s="125">
        <v>0.375</v>
      </c>
      <c r="EJ40" s="243">
        <f>IF('Temperature Profiles'!AF39&gt;17,(0.0043*('Temperature Profiles'!AF39^2)-0.1116*'Temperature Profiles'!AF39+0.6576)*1000,IF('Temperature Profiles'!AF39&lt;17,(0.0053*('Temperature Profiles'!AF39^2)-0.1876*'Temperature Profiles'!AF39+1.7649)*1000,0))</f>
        <v>801.35452777777778</v>
      </c>
      <c r="EK40" s="22"/>
      <c r="EL40" s="22"/>
      <c r="EM40" s="22"/>
      <c r="EN40" s="22"/>
      <c r="EO40" s="22"/>
      <c r="EP40" s="22"/>
      <c r="EQ40" s="22"/>
      <c r="ER40" s="209"/>
    </row>
    <row r="41" spans="1:148" x14ac:dyDescent="0.3">
      <c r="A41" s="123">
        <v>0.375</v>
      </c>
      <c r="B41" s="259">
        <f t="shared" si="0"/>
        <v>0</v>
      </c>
      <c r="C41" s="22">
        <f t="shared" si="1"/>
        <v>0</v>
      </c>
      <c r="D41" s="21">
        <f t="shared" si="2"/>
        <v>0</v>
      </c>
      <c r="F41" s="219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125">
        <v>0.38541666666666669</v>
      </c>
      <c r="AK41" s="233">
        <f>IF('Temperature Profiles'!AA40&gt;17,(0.005*('Temperature Profiles'!AA40^2) - 0.1517*'Temperature Profiles'!AA40 + 1.1701)*1000,0)</f>
        <v>0</v>
      </c>
      <c r="AL41" s="22"/>
      <c r="AM41" s="22"/>
      <c r="AN41" s="22"/>
      <c r="AO41" s="22"/>
      <c r="AP41" s="22"/>
      <c r="AQ41" s="125">
        <v>0.38541666666666669</v>
      </c>
      <c r="AR41" s="211">
        <f>IF('Temperature Profiles'!AF40&gt;17,(0.005*('Temperature Profiles'!AF40^2) - 0.1517*'Temperature Profiles'!AF40 + 1.1702)*1000,0)</f>
        <v>1013.1355555555568</v>
      </c>
      <c r="AS41" s="22"/>
      <c r="AT41" s="22"/>
      <c r="AU41" s="22"/>
      <c r="AV41" s="22"/>
      <c r="AW41" s="22"/>
      <c r="AX41" s="22"/>
      <c r="AY41" s="22"/>
      <c r="AZ41" s="209"/>
      <c r="BB41" s="219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  <c r="BQ41" s="22"/>
      <c r="BR41" s="22"/>
      <c r="BS41" s="22"/>
      <c r="BT41" s="22"/>
      <c r="BU41" s="22"/>
      <c r="BV41" s="22"/>
      <c r="BW41" s="22"/>
      <c r="BX41" s="22"/>
      <c r="BY41" s="22"/>
      <c r="BZ41" s="22"/>
      <c r="CA41" s="22"/>
      <c r="CB41" s="22"/>
      <c r="CC41" s="22"/>
      <c r="CD41" s="22"/>
      <c r="CE41" s="22"/>
      <c r="CF41" s="125">
        <v>0.38541666666666669</v>
      </c>
      <c r="CG41" s="206">
        <f>IF('Temperature Profiles'!AA40&lt;17,(-0.0076*'Temperature Profiles'!AA40+0.1245)*1000,0)</f>
        <v>95.05</v>
      </c>
      <c r="CH41" s="22"/>
      <c r="CI41" s="22"/>
      <c r="CJ41" s="22"/>
      <c r="CK41" s="22"/>
      <c r="CL41" s="22"/>
      <c r="CM41" s="125">
        <v>0.38541666666666669</v>
      </c>
      <c r="CN41" s="206">
        <f>IF('Temperature Profiles'!AF40&lt;17,(-0.0076*'Temperature Profiles'!AF40+0.1245)*1000,0)</f>
        <v>0</v>
      </c>
      <c r="CO41" s="22"/>
      <c r="CP41" s="22"/>
      <c r="CQ41" s="22"/>
      <c r="CR41" s="22"/>
      <c r="CS41" s="22"/>
      <c r="CT41" s="22"/>
      <c r="CU41" s="22"/>
      <c r="CV41" s="209"/>
      <c r="CX41" s="219"/>
      <c r="CY41" s="22"/>
      <c r="CZ41" s="22"/>
      <c r="DA41" s="22"/>
      <c r="DB41" s="22"/>
      <c r="DC41" s="22"/>
      <c r="DD41" s="22"/>
      <c r="DE41" s="22"/>
      <c r="DF41" s="22"/>
      <c r="DG41" s="22"/>
      <c r="DH41" s="22"/>
      <c r="DI41" s="22"/>
      <c r="DJ41" s="22"/>
      <c r="DK41" s="22"/>
      <c r="DL41" s="22"/>
      <c r="DM41" s="22"/>
      <c r="DN41" s="22"/>
      <c r="DO41" s="22"/>
      <c r="DP41" s="22"/>
      <c r="DQ41" s="22"/>
      <c r="DR41" s="22"/>
      <c r="DS41" s="22"/>
      <c r="DT41" s="22"/>
      <c r="DU41" s="22"/>
      <c r="DV41" s="22"/>
      <c r="DW41" s="22"/>
      <c r="DX41" s="22"/>
      <c r="DY41" s="22"/>
      <c r="DZ41" s="22"/>
      <c r="EA41" s="22"/>
      <c r="EB41" s="125">
        <v>0.38541666666666669</v>
      </c>
      <c r="EC41" s="241">
        <f>IF('Temperature Profiles'!AA40&gt;17,(0.0043*('Temperature Profiles'!AA40^2)-0.1116*'Temperature Profiles'!AA40+0.6576)*1000,IF('Temperature Profiles'!AA40&lt;17,(0.0053*('Temperature Profiles'!AA40^2)-0.1876*'Temperature Profiles'!AA40+1.7649)*1000,0))</f>
        <v>1117.5328124999999</v>
      </c>
      <c r="ED41" s="22"/>
      <c r="EE41" s="22"/>
      <c r="EF41" s="22"/>
      <c r="EG41" s="22"/>
      <c r="EH41" s="22"/>
      <c r="EI41" s="125">
        <v>0.38541666666666669</v>
      </c>
      <c r="EJ41" s="243">
        <f>IF('Temperature Profiles'!AF40&gt;17,(0.0043*('Temperature Profiles'!AF40^2)-0.1116*'Temperature Profiles'!AF40+0.6576)*1000,IF('Temperature Profiles'!AF40&lt;17,(0.0053*('Temperature Profiles'!AF40^2)-0.1876*'Temperature Profiles'!AF40+1.7649)*1000,0))</f>
        <v>1074.5524444444454</v>
      </c>
      <c r="EK41" s="22"/>
      <c r="EL41" s="22"/>
      <c r="EM41" s="22"/>
      <c r="EN41" s="22"/>
      <c r="EO41" s="22"/>
      <c r="EP41" s="22"/>
      <c r="EQ41" s="22"/>
      <c r="ER41" s="209"/>
    </row>
    <row r="42" spans="1:148" x14ac:dyDescent="0.3">
      <c r="A42" s="123">
        <v>0.38541666666666669</v>
      </c>
      <c r="B42" s="259">
        <f t="shared" si="0"/>
        <v>0</v>
      </c>
      <c r="C42" s="22">
        <f t="shared" si="1"/>
        <v>0</v>
      </c>
      <c r="D42" s="21">
        <f t="shared" si="2"/>
        <v>0</v>
      </c>
      <c r="F42" s="219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125">
        <v>0.39583333333333331</v>
      </c>
      <c r="AK42" s="233">
        <f>IF('Temperature Profiles'!AA41&gt;17,(0.005*('Temperature Profiles'!AA41^2) - 0.1517*'Temperature Profiles'!AA41 + 1.1701)*1000,0)</f>
        <v>0</v>
      </c>
      <c r="AL42" s="22"/>
      <c r="AM42" s="22"/>
      <c r="AN42" s="22"/>
      <c r="AO42" s="22"/>
      <c r="AP42" s="22"/>
      <c r="AQ42" s="125">
        <v>0.39583333333333331</v>
      </c>
      <c r="AR42" s="211">
        <f>IF('Temperature Profiles'!AF41&gt;17,(0.005*('Temperature Profiles'!AF41^2) - 0.1517*'Temperature Profiles'!AF41 + 1.1702)*1000,0)</f>
        <v>1013.1355555555568</v>
      </c>
      <c r="AS42" s="22"/>
      <c r="AT42" s="22"/>
      <c r="AU42" s="22"/>
      <c r="AV42" s="22"/>
      <c r="AW42" s="22"/>
      <c r="AX42" s="22"/>
      <c r="AY42" s="22"/>
      <c r="AZ42" s="209"/>
      <c r="BB42" s="219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22"/>
      <c r="BT42" s="22"/>
      <c r="BU42" s="22"/>
      <c r="BV42" s="22"/>
      <c r="BW42" s="22"/>
      <c r="BX42" s="22"/>
      <c r="BY42" s="22"/>
      <c r="BZ42" s="22"/>
      <c r="CA42" s="22"/>
      <c r="CB42" s="22"/>
      <c r="CC42" s="22"/>
      <c r="CD42" s="22"/>
      <c r="CE42" s="22"/>
      <c r="CF42" s="125">
        <v>0.39583333333333331</v>
      </c>
      <c r="CG42" s="206">
        <f>IF('Temperature Profiles'!AA41&lt;17,(-0.0076*'Temperature Profiles'!AA41+0.1245)*1000,0)</f>
        <v>95.05</v>
      </c>
      <c r="CH42" s="22"/>
      <c r="CI42" s="22"/>
      <c r="CJ42" s="22"/>
      <c r="CK42" s="22"/>
      <c r="CL42" s="22"/>
      <c r="CM42" s="125">
        <v>0.39583333333333331</v>
      </c>
      <c r="CN42" s="206">
        <f>IF('Temperature Profiles'!AF41&lt;17,(-0.0076*'Temperature Profiles'!AF41+0.1245)*1000,0)</f>
        <v>0</v>
      </c>
      <c r="CO42" s="22"/>
      <c r="CP42" s="22"/>
      <c r="CQ42" s="22"/>
      <c r="CR42" s="22"/>
      <c r="CS42" s="22"/>
      <c r="CT42" s="22"/>
      <c r="CU42" s="22"/>
      <c r="CV42" s="209"/>
      <c r="CX42" s="219"/>
      <c r="CY42" s="22"/>
      <c r="CZ42" s="22"/>
      <c r="DA42" s="22"/>
      <c r="DB42" s="22"/>
      <c r="DC42" s="22"/>
      <c r="DD42" s="22"/>
      <c r="DE42" s="22"/>
      <c r="DF42" s="22"/>
      <c r="DG42" s="22"/>
      <c r="DH42" s="22"/>
      <c r="DI42" s="22"/>
      <c r="DJ42" s="22"/>
      <c r="DK42" s="22"/>
      <c r="DL42" s="22"/>
      <c r="DM42" s="22"/>
      <c r="DN42" s="22"/>
      <c r="DO42" s="22"/>
      <c r="DP42" s="22"/>
      <c r="DQ42" s="22"/>
      <c r="DR42" s="22"/>
      <c r="DS42" s="22"/>
      <c r="DT42" s="22"/>
      <c r="DU42" s="22"/>
      <c r="DV42" s="22"/>
      <c r="DW42" s="22"/>
      <c r="DX42" s="22"/>
      <c r="DY42" s="22"/>
      <c r="DZ42" s="22"/>
      <c r="EA42" s="22"/>
      <c r="EB42" s="125">
        <v>0.39583333333333331</v>
      </c>
      <c r="EC42" s="241">
        <f>IF('Temperature Profiles'!AA41&gt;17,(0.0043*('Temperature Profiles'!AA41^2)-0.1116*'Temperature Profiles'!AA41+0.6576)*1000,IF('Temperature Profiles'!AA41&lt;17,(0.0053*('Temperature Profiles'!AA41^2)-0.1876*'Temperature Profiles'!AA41+1.7649)*1000,0))</f>
        <v>1117.5328124999999</v>
      </c>
      <c r="ED42" s="22"/>
      <c r="EE42" s="22"/>
      <c r="EF42" s="22"/>
      <c r="EG42" s="22"/>
      <c r="EH42" s="22"/>
      <c r="EI42" s="125">
        <v>0.39583333333333331</v>
      </c>
      <c r="EJ42" s="243">
        <f>IF('Temperature Profiles'!AF41&gt;17,(0.0043*('Temperature Profiles'!AF41^2)-0.1116*'Temperature Profiles'!AF41+0.6576)*1000,IF('Temperature Profiles'!AF41&lt;17,(0.0053*('Temperature Profiles'!AF41^2)-0.1876*'Temperature Profiles'!AF41+1.7649)*1000,0))</f>
        <v>1074.5524444444454</v>
      </c>
      <c r="EK42" s="22"/>
      <c r="EL42" s="22"/>
      <c r="EM42" s="22"/>
      <c r="EN42" s="22"/>
      <c r="EO42" s="22"/>
      <c r="EP42" s="22"/>
      <c r="EQ42" s="22"/>
      <c r="ER42" s="209"/>
    </row>
    <row r="43" spans="1:148" x14ac:dyDescent="0.3">
      <c r="A43" s="123">
        <v>0.39583333333333331</v>
      </c>
      <c r="B43" s="259">
        <f t="shared" si="0"/>
        <v>0</v>
      </c>
      <c r="C43" s="22">
        <f t="shared" si="1"/>
        <v>0</v>
      </c>
      <c r="D43" s="21">
        <f t="shared" si="2"/>
        <v>0</v>
      </c>
      <c r="F43" s="219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125">
        <v>0.40625</v>
      </c>
      <c r="AK43" s="233">
        <f>IF('Temperature Profiles'!AA42&gt;17,(0.005*('Temperature Profiles'!AA42^2) - 0.1517*'Temperature Profiles'!AA42 + 1.1701)*1000,0)</f>
        <v>0</v>
      </c>
      <c r="AL43" s="22"/>
      <c r="AM43" s="22"/>
      <c r="AN43" s="22"/>
      <c r="AO43" s="22"/>
      <c r="AP43" s="22"/>
      <c r="AQ43" s="125">
        <v>0.40625</v>
      </c>
      <c r="AR43" s="211">
        <f>IF('Temperature Profiles'!AF42&gt;17,(0.005*('Temperature Profiles'!AF42^2) - 0.1517*'Temperature Profiles'!AF42 + 1.1702)*1000,0)</f>
        <v>1013.1355555555568</v>
      </c>
      <c r="AS43" s="22"/>
      <c r="AT43" s="22"/>
      <c r="AU43" s="22"/>
      <c r="AV43" s="22"/>
      <c r="AW43" s="22"/>
      <c r="AX43" s="22"/>
      <c r="AY43" s="22"/>
      <c r="AZ43" s="209"/>
      <c r="BB43" s="219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  <c r="BQ43" s="22"/>
      <c r="BR43" s="22"/>
      <c r="BS43" s="22"/>
      <c r="BT43" s="22"/>
      <c r="BU43" s="22"/>
      <c r="BV43" s="22"/>
      <c r="BW43" s="22"/>
      <c r="BX43" s="22"/>
      <c r="BY43" s="22"/>
      <c r="BZ43" s="22"/>
      <c r="CA43" s="22"/>
      <c r="CB43" s="22"/>
      <c r="CC43" s="22"/>
      <c r="CD43" s="22"/>
      <c r="CE43" s="22"/>
      <c r="CF43" s="125">
        <v>0.40625</v>
      </c>
      <c r="CG43" s="206">
        <f>IF('Temperature Profiles'!AA42&lt;17,(-0.0076*'Temperature Profiles'!AA42+0.1245)*1000,0)</f>
        <v>95.05</v>
      </c>
      <c r="CH43" s="22"/>
      <c r="CI43" s="22"/>
      <c r="CJ43" s="22"/>
      <c r="CK43" s="22"/>
      <c r="CL43" s="22"/>
      <c r="CM43" s="125">
        <v>0.40625</v>
      </c>
      <c r="CN43" s="206">
        <f>IF('Temperature Profiles'!AF42&lt;17,(-0.0076*'Temperature Profiles'!AF42+0.1245)*1000,0)</f>
        <v>0</v>
      </c>
      <c r="CO43" s="22"/>
      <c r="CP43" s="22"/>
      <c r="CQ43" s="22"/>
      <c r="CR43" s="22"/>
      <c r="CS43" s="22"/>
      <c r="CT43" s="22"/>
      <c r="CU43" s="22"/>
      <c r="CV43" s="209"/>
      <c r="CX43" s="219"/>
      <c r="CY43" s="22"/>
      <c r="CZ43" s="22"/>
      <c r="DA43" s="22"/>
      <c r="DB43" s="22"/>
      <c r="DC43" s="22"/>
      <c r="DD43" s="22"/>
      <c r="DE43" s="22"/>
      <c r="DF43" s="22"/>
      <c r="DG43" s="22"/>
      <c r="DH43" s="22"/>
      <c r="DI43" s="22"/>
      <c r="DJ43" s="22"/>
      <c r="DK43" s="22"/>
      <c r="DL43" s="22"/>
      <c r="DM43" s="22"/>
      <c r="DN43" s="22"/>
      <c r="DO43" s="22"/>
      <c r="DP43" s="22"/>
      <c r="DQ43" s="22"/>
      <c r="DR43" s="22"/>
      <c r="DS43" s="22"/>
      <c r="DT43" s="22"/>
      <c r="DU43" s="22"/>
      <c r="DV43" s="22"/>
      <c r="DW43" s="22"/>
      <c r="DX43" s="22"/>
      <c r="DY43" s="22"/>
      <c r="DZ43" s="22"/>
      <c r="EA43" s="22"/>
      <c r="EB43" s="125">
        <v>0.40625</v>
      </c>
      <c r="EC43" s="241">
        <f>IF('Temperature Profiles'!AA42&gt;17,(0.0043*('Temperature Profiles'!AA42^2)-0.1116*'Temperature Profiles'!AA42+0.6576)*1000,IF('Temperature Profiles'!AA42&lt;17,(0.0053*('Temperature Profiles'!AA42^2)-0.1876*'Temperature Profiles'!AA42+1.7649)*1000,0))</f>
        <v>1117.5328124999999</v>
      </c>
      <c r="ED43" s="22"/>
      <c r="EE43" s="22"/>
      <c r="EF43" s="22"/>
      <c r="EG43" s="22"/>
      <c r="EH43" s="22"/>
      <c r="EI43" s="125">
        <v>0.40625</v>
      </c>
      <c r="EJ43" s="243">
        <f>IF('Temperature Profiles'!AF42&gt;17,(0.0043*('Temperature Profiles'!AF42^2)-0.1116*'Temperature Profiles'!AF42+0.6576)*1000,IF('Temperature Profiles'!AF42&lt;17,(0.0053*('Temperature Profiles'!AF42^2)-0.1876*'Temperature Profiles'!AF42+1.7649)*1000,0))</f>
        <v>1074.5524444444454</v>
      </c>
      <c r="EK43" s="22"/>
      <c r="EL43" s="22"/>
      <c r="EM43" s="22"/>
      <c r="EN43" s="22"/>
      <c r="EO43" s="22"/>
      <c r="EP43" s="22"/>
      <c r="EQ43" s="22"/>
      <c r="ER43" s="209"/>
    </row>
    <row r="44" spans="1:148" x14ac:dyDescent="0.3">
      <c r="A44" s="123">
        <v>0.40625</v>
      </c>
      <c r="B44" s="259">
        <f t="shared" si="0"/>
        <v>0</v>
      </c>
      <c r="C44" s="22">
        <f t="shared" si="1"/>
        <v>0</v>
      </c>
      <c r="D44" s="21">
        <f t="shared" si="2"/>
        <v>0</v>
      </c>
      <c r="F44" s="219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125">
        <v>0.41666666666666669</v>
      </c>
      <c r="AK44" s="233">
        <f>IF('Temperature Profiles'!AA43&gt;17,(0.005*('Temperature Profiles'!AA43^2) - 0.1517*'Temperature Profiles'!AA43 + 1.1701)*1000,0)</f>
        <v>0</v>
      </c>
      <c r="AL44" s="22"/>
      <c r="AM44" s="22"/>
      <c r="AN44" s="22"/>
      <c r="AO44" s="22"/>
      <c r="AP44" s="22"/>
      <c r="AQ44" s="125">
        <v>0.41666666666666669</v>
      </c>
      <c r="AR44" s="211">
        <f>IF('Temperature Profiles'!AF43&gt;17,(0.005*('Temperature Profiles'!AF43^2) - 0.1517*'Temperature Profiles'!AF43 + 1.1702)*1000,0)</f>
        <v>1013.1355555555568</v>
      </c>
      <c r="AS44" s="22"/>
      <c r="AT44" s="22"/>
      <c r="AU44" s="22"/>
      <c r="AV44" s="22"/>
      <c r="AW44" s="22"/>
      <c r="AX44" s="22"/>
      <c r="AY44" s="22"/>
      <c r="AZ44" s="209"/>
      <c r="BB44" s="219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  <c r="BQ44" s="22"/>
      <c r="BR44" s="22"/>
      <c r="BS44" s="22"/>
      <c r="BT44" s="22"/>
      <c r="BU44" s="22"/>
      <c r="BV44" s="22"/>
      <c r="BW44" s="22"/>
      <c r="BX44" s="22"/>
      <c r="BY44" s="22"/>
      <c r="BZ44" s="22"/>
      <c r="CA44" s="22"/>
      <c r="CB44" s="22"/>
      <c r="CC44" s="22"/>
      <c r="CD44" s="22"/>
      <c r="CE44" s="22"/>
      <c r="CF44" s="125">
        <v>0.41666666666666669</v>
      </c>
      <c r="CG44" s="206">
        <f>IF('Temperature Profiles'!AA43&lt;17,(-0.0076*'Temperature Profiles'!AA43+0.1245)*1000,0)</f>
        <v>95.05</v>
      </c>
      <c r="CH44" s="22"/>
      <c r="CI44" s="22"/>
      <c r="CJ44" s="22"/>
      <c r="CK44" s="22"/>
      <c r="CL44" s="22"/>
      <c r="CM44" s="125">
        <v>0.41666666666666669</v>
      </c>
      <c r="CN44" s="206">
        <f>IF('Temperature Profiles'!AF43&lt;17,(-0.0076*'Temperature Profiles'!AF43+0.1245)*1000,0)</f>
        <v>0</v>
      </c>
      <c r="CO44" s="22"/>
      <c r="CP44" s="22"/>
      <c r="CQ44" s="22"/>
      <c r="CR44" s="22"/>
      <c r="CS44" s="22"/>
      <c r="CT44" s="22"/>
      <c r="CU44" s="22"/>
      <c r="CV44" s="209"/>
      <c r="CX44" s="219"/>
      <c r="CY44" s="22"/>
      <c r="CZ44" s="22"/>
      <c r="DA44" s="22"/>
      <c r="DB44" s="22"/>
      <c r="DC44" s="22"/>
      <c r="DD44" s="22"/>
      <c r="DE44" s="22"/>
      <c r="DF44" s="22"/>
      <c r="DG44" s="22"/>
      <c r="DH44" s="22"/>
      <c r="DI44" s="22"/>
      <c r="DJ44" s="22"/>
      <c r="DK44" s="22"/>
      <c r="DL44" s="22"/>
      <c r="DM44" s="22"/>
      <c r="DN44" s="22"/>
      <c r="DO44" s="22"/>
      <c r="DP44" s="22"/>
      <c r="DQ44" s="22"/>
      <c r="DR44" s="22"/>
      <c r="DS44" s="22"/>
      <c r="DT44" s="22"/>
      <c r="DU44" s="22"/>
      <c r="DV44" s="22"/>
      <c r="DW44" s="22"/>
      <c r="DX44" s="22"/>
      <c r="DY44" s="22"/>
      <c r="DZ44" s="22"/>
      <c r="EA44" s="22"/>
      <c r="EB44" s="125">
        <v>0.41666666666666669</v>
      </c>
      <c r="EC44" s="241">
        <f>IF('Temperature Profiles'!AA43&gt;17,(0.0043*('Temperature Profiles'!AA43^2)-0.1116*'Temperature Profiles'!AA43+0.6576)*1000,IF('Temperature Profiles'!AA43&lt;17,(0.0053*('Temperature Profiles'!AA43^2)-0.1876*'Temperature Profiles'!AA43+1.7649)*1000,0))</f>
        <v>1117.5328124999999</v>
      </c>
      <c r="ED44" s="22"/>
      <c r="EE44" s="22"/>
      <c r="EF44" s="22"/>
      <c r="EG44" s="22"/>
      <c r="EH44" s="22"/>
      <c r="EI44" s="125">
        <v>0.41666666666666669</v>
      </c>
      <c r="EJ44" s="243">
        <f>IF('Temperature Profiles'!AF43&gt;17,(0.0043*('Temperature Profiles'!AF43^2)-0.1116*'Temperature Profiles'!AF43+0.6576)*1000,IF('Temperature Profiles'!AF43&lt;17,(0.0053*('Temperature Profiles'!AF43^2)-0.1876*'Temperature Profiles'!AF43+1.7649)*1000,0))</f>
        <v>1074.5524444444454</v>
      </c>
      <c r="EK44" s="22"/>
      <c r="EL44" s="22"/>
      <c r="EM44" s="22"/>
      <c r="EN44" s="22"/>
      <c r="EO44" s="22"/>
      <c r="EP44" s="22"/>
      <c r="EQ44" s="22"/>
      <c r="ER44" s="209"/>
    </row>
    <row r="45" spans="1:148" x14ac:dyDescent="0.3">
      <c r="A45" s="123">
        <v>0.41666666666666669</v>
      </c>
      <c r="B45" s="259">
        <f t="shared" si="0"/>
        <v>0</v>
      </c>
      <c r="C45" s="22">
        <f t="shared" si="1"/>
        <v>0</v>
      </c>
      <c r="D45" s="21">
        <f t="shared" si="2"/>
        <v>0</v>
      </c>
      <c r="F45" s="219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125">
        <v>0.42708333333333331</v>
      </c>
      <c r="AK45" s="233">
        <f>IF('Temperature Profiles'!AA44&gt;17,(0.005*('Temperature Profiles'!AA44^2) - 0.1517*'Temperature Profiles'!AA44 + 1.1701)*1000,0)</f>
        <v>0</v>
      </c>
      <c r="AL45" s="22"/>
      <c r="AM45" s="22"/>
      <c r="AN45" s="22"/>
      <c r="AO45" s="22"/>
      <c r="AP45" s="22"/>
      <c r="AQ45" s="125">
        <v>0.42708333333333331</v>
      </c>
      <c r="AR45" s="211">
        <f>IF('Temperature Profiles'!AF44&gt;17,(0.005*('Temperature Profiles'!AF44^2) - 0.1517*'Temperature Profiles'!AF44 + 1.1702)*1000,0)</f>
        <v>1231.939513888889</v>
      </c>
      <c r="AS45" s="22"/>
      <c r="AT45" s="22"/>
      <c r="AU45" s="22"/>
      <c r="AV45" s="22"/>
      <c r="AW45" s="22"/>
      <c r="AX45" s="22"/>
      <c r="AY45" s="22"/>
      <c r="AZ45" s="209"/>
      <c r="BB45" s="219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  <c r="BQ45" s="22"/>
      <c r="BR45" s="22"/>
      <c r="BS45" s="22"/>
      <c r="BT45" s="22"/>
      <c r="BU45" s="22"/>
      <c r="BV45" s="22"/>
      <c r="BW45" s="22"/>
      <c r="BX45" s="22"/>
      <c r="BY45" s="22"/>
      <c r="BZ45" s="22"/>
      <c r="CA45" s="22"/>
      <c r="CB45" s="22"/>
      <c r="CC45" s="22"/>
      <c r="CD45" s="22"/>
      <c r="CE45" s="22"/>
      <c r="CF45" s="125">
        <v>0.42708333333333331</v>
      </c>
      <c r="CG45" s="206">
        <f>IF('Temperature Profiles'!AA44&lt;17,(-0.0076*'Temperature Profiles'!AA44+0.1245)*1000,0)</f>
        <v>84.536666666666648</v>
      </c>
      <c r="CH45" s="22"/>
      <c r="CI45" s="22"/>
      <c r="CJ45" s="22"/>
      <c r="CK45" s="22"/>
      <c r="CL45" s="22"/>
      <c r="CM45" s="125">
        <v>0.42708333333333331</v>
      </c>
      <c r="CN45" s="206">
        <f>IF('Temperature Profiles'!AF44&lt;17,(-0.0076*'Temperature Profiles'!AF44+0.1245)*1000,0)</f>
        <v>0</v>
      </c>
      <c r="CO45" s="22"/>
      <c r="CP45" s="22"/>
      <c r="CQ45" s="22"/>
      <c r="CR45" s="22"/>
      <c r="CS45" s="22"/>
      <c r="CT45" s="22"/>
      <c r="CU45" s="22"/>
      <c r="CV45" s="209"/>
      <c r="CX45" s="219"/>
      <c r="CY45" s="22"/>
      <c r="CZ45" s="22"/>
      <c r="DA45" s="22"/>
      <c r="DB45" s="22"/>
      <c r="DC45" s="22"/>
      <c r="DD45" s="22"/>
      <c r="DE45" s="22"/>
      <c r="DF45" s="22"/>
      <c r="DG45" s="22"/>
      <c r="DH45" s="22"/>
      <c r="DI45" s="22"/>
      <c r="DJ45" s="22"/>
      <c r="DK45" s="22"/>
      <c r="DL45" s="22"/>
      <c r="DM45" s="22"/>
      <c r="DN45" s="22"/>
      <c r="DO45" s="22"/>
      <c r="DP45" s="22"/>
      <c r="DQ45" s="22"/>
      <c r="DR45" s="22"/>
      <c r="DS45" s="22"/>
      <c r="DT45" s="22"/>
      <c r="DU45" s="22"/>
      <c r="DV45" s="22"/>
      <c r="DW45" s="22"/>
      <c r="DX45" s="22"/>
      <c r="DY45" s="22"/>
      <c r="DZ45" s="22"/>
      <c r="EA45" s="22"/>
      <c r="EB45" s="125">
        <v>0.42708333333333331</v>
      </c>
      <c r="EC45" s="241">
        <f>IF('Temperature Profiles'!AA44&gt;17,(0.0043*('Temperature Profiles'!AA44^2)-0.1116*'Temperature Profiles'!AA44+0.6576)*1000,IF('Temperature Profiles'!AA44&lt;17,(0.0053*('Temperature Profiles'!AA44^2)-0.1876*'Temperature Profiles'!AA44+1.7649)*1000,0))</f>
        <v>924.98203472222201</v>
      </c>
      <c r="ED45" s="22"/>
      <c r="EE45" s="22"/>
      <c r="EF45" s="22"/>
      <c r="EG45" s="22"/>
      <c r="EH45" s="22"/>
      <c r="EI45" s="125">
        <v>0.42708333333333331</v>
      </c>
      <c r="EJ45" s="243">
        <f>IF('Temperature Profiles'!AF44&gt;17,(0.0043*('Temperature Profiles'!AF44^2)-0.1116*'Temperature Profiles'!AF44+0.6576)*1000,IF('Temperature Profiles'!AF44&lt;17,(0.0053*('Temperature Profiles'!AF44^2)-0.1876*'Temperature Profiles'!AF44+1.7649)*1000,0))</f>
        <v>1290.5452986111104</v>
      </c>
      <c r="EK45" s="22"/>
      <c r="EL45" s="22"/>
      <c r="EM45" s="22"/>
      <c r="EN45" s="22"/>
      <c r="EO45" s="22"/>
      <c r="EP45" s="22"/>
      <c r="EQ45" s="22"/>
      <c r="ER45" s="209"/>
    </row>
    <row r="46" spans="1:148" x14ac:dyDescent="0.3">
      <c r="A46" s="123">
        <v>0.42708333333333331</v>
      </c>
      <c r="B46" s="259">
        <f t="shared" si="0"/>
        <v>0</v>
      </c>
      <c r="C46" s="22">
        <f t="shared" si="1"/>
        <v>0</v>
      </c>
      <c r="D46" s="21">
        <f t="shared" si="2"/>
        <v>0</v>
      </c>
      <c r="F46" s="219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125">
        <v>0.4375</v>
      </c>
      <c r="AK46" s="233">
        <f>IF('Temperature Profiles'!AA45&gt;17,(0.005*('Temperature Profiles'!AA45^2) - 0.1517*'Temperature Profiles'!AA45 + 1.1701)*1000,0)</f>
        <v>0</v>
      </c>
      <c r="AL46" s="22"/>
      <c r="AM46" s="22"/>
      <c r="AN46" s="22"/>
      <c r="AO46" s="22"/>
      <c r="AP46" s="22"/>
      <c r="AQ46" s="125">
        <v>0.4375</v>
      </c>
      <c r="AR46" s="211">
        <f>IF('Temperature Profiles'!AF45&gt;17,(0.005*('Temperature Profiles'!AF45^2) - 0.1517*'Temperature Profiles'!AF45 + 1.1702)*1000,0)</f>
        <v>1231.939513888889</v>
      </c>
      <c r="AS46" s="22"/>
      <c r="AT46" s="22"/>
      <c r="AU46" s="22"/>
      <c r="AV46" s="22"/>
      <c r="AW46" s="22"/>
      <c r="AX46" s="22"/>
      <c r="AY46" s="22"/>
      <c r="AZ46" s="209"/>
      <c r="BB46" s="219"/>
      <c r="BC46" s="22"/>
      <c r="BD46" s="22"/>
      <c r="BE46" s="22"/>
      <c r="BF46" s="22"/>
      <c r="BG46" s="22"/>
      <c r="BH46" s="22"/>
      <c r="BI46" s="22"/>
      <c r="BJ46" s="22"/>
      <c r="BK46" s="22"/>
      <c r="BL46" s="22"/>
      <c r="BM46" s="22"/>
      <c r="BN46" s="22"/>
      <c r="BO46" s="22"/>
      <c r="BP46" s="22"/>
      <c r="BQ46" s="22"/>
      <c r="BR46" s="22"/>
      <c r="BS46" s="22"/>
      <c r="BT46" s="22"/>
      <c r="BU46" s="22"/>
      <c r="BV46" s="22"/>
      <c r="BW46" s="22"/>
      <c r="BX46" s="22"/>
      <c r="BY46" s="22"/>
      <c r="BZ46" s="22"/>
      <c r="CA46" s="22"/>
      <c r="CB46" s="22"/>
      <c r="CC46" s="22"/>
      <c r="CD46" s="22"/>
      <c r="CE46" s="22"/>
      <c r="CF46" s="125">
        <v>0.4375</v>
      </c>
      <c r="CG46" s="206">
        <f>IF('Temperature Profiles'!AA45&lt;17,(-0.0076*'Temperature Profiles'!AA45+0.1245)*1000,0)</f>
        <v>84.536666666666648</v>
      </c>
      <c r="CH46" s="22"/>
      <c r="CI46" s="22"/>
      <c r="CJ46" s="22"/>
      <c r="CK46" s="22"/>
      <c r="CL46" s="22"/>
      <c r="CM46" s="125">
        <v>0.4375</v>
      </c>
      <c r="CN46" s="206">
        <f>IF('Temperature Profiles'!AF45&lt;17,(-0.0076*'Temperature Profiles'!AF45+0.1245)*1000,0)</f>
        <v>0</v>
      </c>
      <c r="CO46" s="22"/>
      <c r="CP46" s="22"/>
      <c r="CQ46" s="22"/>
      <c r="CR46" s="22"/>
      <c r="CS46" s="22"/>
      <c r="CT46" s="22"/>
      <c r="CU46" s="22"/>
      <c r="CV46" s="209"/>
      <c r="CX46" s="219"/>
      <c r="CY46" s="22"/>
      <c r="CZ46" s="22"/>
      <c r="DA46" s="22"/>
      <c r="DB46" s="22"/>
      <c r="DC46" s="22"/>
      <c r="DD46" s="22"/>
      <c r="DE46" s="22"/>
      <c r="DF46" s="22"/>
      <c r="DG46" s="22"/>
      <c r="DH46" s="22"/>
      <c r="DI46" s="22"/>
      <c r="DJ46" s="22"/>
      <c r="DK46" s="22"/>
      <c r="DL46" s="22"/>
      <c r="DM46" s="22"/>
      <c r="DN46" s="22"/>
      <c r="DO46" s="22"/>
      <c r="DP46" s="22"/>
      <c r="DQ46" s="22"/>
      <c r="DR46" s="22"/>
      <c r="DS46" s="22"/>
      <c r="DT46" s="22"/>
      <c r="DU46" s="22"/>
      <c r="DV46" s="22"/>
      <c r="DW46" s="22"/>
      <c r="DX46" s="22"/>
      <c r="DY46" s="22"/>
      <c r="DZ46" s="22"/>
      <c r="EA46" s="22"/>
      <c r="EB46" s="125">
        <v>0.4375</v>
      </c>
      <c r="EC46" s="241">
        <f>IF('Temperature Profiles'!AA45&gt;17,(0.0043*('Temperature Profiles'!AA45^2)-0.1116*'Temperature Profiles'!AA45+0.6576)*1000,IF('Temperature Profiles'!AA45&lt;17,(0.0053*('Temperature Profiles'!AA45^2)-0.1876*'Temperature Profiles'!AA45+1.7649)*1000,0))</f>
        <v>924.98203472222201</v>
      </c>
      <c r="ED46" s="22"/>
      <c r="EE46" s="22"/>
      <c r="EF46" s="22"/>
      <c r="EG46" s="22"/>
      <c r="EH46" s="22"/>
      <c r="EI46" s="125">
        <v>0.4375</v>
      </c>
      <c r="EJ46" s="243">
        <f>IF('Temperature Profiles'!AF45&gt;17,(0.0043*('Temperature Profiles'!AF45^2)-0.1116*'Temperature Profiles'!AF45+0.6576)*1000,IF('Temperature Profiles'!AF45&lt;17,(0.0053*('Temperature Profiles'!AF45^2)-0.1876*'Temperature Profiles'!AF45+1.7649)*1000,0))</f>
        <v>1290.5452986111104</v>
      </c>
      <c r="EK46" s="22"/>
      <c r="EL46" s="22"/>
      <c r="EM46" s="22"/>
      <c r="EN46" s="22"/>
      <c r="EO46" s="22"/>
      <c r="EP46" s="22"/>
      <c r="EQ46" s="22"/>
      <c r="ER46" s="209"/>
    </row>
    <row r="47" spans="1:148" x14ac:dyDescent="0.3">
      <c r="A47" s="123">
        <v>0.4375</v>
      </c>
      <c r="B47" s="259">
        <f t="shared" si="0"/>
        <v>0</v>
      </c>
      <c r="C47" s="22">
        <f t="shared" si="1"/>
        <v>0</v>
      </c>
      <c r="D47" s="21">
        <f t="shared" si="2"/>
        <v>0</v>
      </c>
      <c r="F47" s="219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125">
        <v>0.44791666666666669</v>
      </c>
      <c r="AK47" s="233">
        <f>IF('Temperature Profiles'!AA46&gt;17,(0.005*('Temperature Profiles'!AA46^2) - 0.1517*'Temperature Profiles'!AA46 + 1.1701)*1000,0)</f>
        <v>0</v>
      </c>
      <c r="AL47" s="22"/>
      <c r="AM47" s="22"/>
      <c r="AN47" s="22"/>
      <c r="AO47" s="22"/>
      <c r="AP47" s="22"/>
      <c r="AQ47" s="125">
        <v>0.44791666666666669</v>
      </c>
      <c r="AR47" s="211">
        <f>IF('Temperature Profiles'!AF46&gt;17,(0.005*('Temperature Profiles'!AF46^2) - 0.1517*'Temperature Profiles'!AF46 + 1.1702)*1000,0)</f>
        <v>1231.939513888889</v>
      </c>
      <c r="AS47" s="22"/>
      <c r="AT47" s="22"/>
      <c r="AU47" s="22"/>
      <c r="AV47" s="22"/>
      <c r="AW47" s="22"/>
      <c r="AX47" s="22"/>
      <c r="AY47" s="22"/>
      <c r="AZ47" s="209"/>
      <c r="BB47" s="219"/>
      <c r="BC47" s="22"/>
      <c r="BD47" s="22"/>
      <c r="BE47" s="22"/>
      <c r="BF47" s="22"/>
      <c r="BG47" s="22"/>
      <c r="BH47" s="22"/>
      <c r="BI47" s="22"/>
      <c r="BJ47" s="22"/>
      <c r="BK47" s="22"/>
      <c r="BL47" s="22"/>
      <c r="BM47" s="22"/>
      <c r="BN47" s="22"/>
      <c r="BO47" s="22"/>
      <c r="BP47" s="22"/>
      <c r="BQ47" s="22"/>
      <c r="BR47" s="22"/>
      <c r="BS47" s="22"/>
      <c r="BT47" s="22"/>
      <c r="BU47" s="22"/>
      <c r="BV47" s="22"/>
      <c r="BW47" s="22"/>
      <c r="BX47" s="22"/>
      <c r="BY47" s="22"/>
      <c r="BZ47" s="22"/>
      <c r="CA47" s="22"/>
      <c r="CB47" s="22"/>
      <c r="CC47" s="22"/>
      <c r="CD47" s="22"/>
      <c r="CE47" s="22"/>
      <c r="CF47" s="125">
        <v>0.44791666666666669</v>
      </c>
      <c r="CG47" s="206">
        <f>IF('Temperature Profiles'!AA46&lt;17,(-0.0076*'Temperature Profiles'!AA46+0.1245)*1000,0)</f>
        <v>84.536666666666648</v>
      </c>
      <c r="CH47" s="22"/>
      <c r="CI47" s="22"/>
      <c r="CJ47" s="22"/>
      <c r="CK47" s="22"/>
      <c r="CL47" s="22"/>
      <c r="CM47" s="125">
        <v>0.44791666666666669</v>
      </c>
      <c r="CN47" s="206">
        <f>IF('Temperature Profiles'!AF46&lt;17,(-0.0076*'Temperature Profiles'!AF46+0.1245)*1000,0)</f>
        <v>0</v>
      </c>
      <c r="CO47" s="22"/>
      <c r="CP47" s="22"/>
      <c r="CQ47" s="22"/>
      <c r="CR47" s="22"/>
      <c r="CS47" s="22"/>
      <c r="CT47" s="22"/>
      <c r="CU47" s="22"/>
      <c r="CV47" s="209"/>
      <c r="CX47" s="219"/>
      <c r="CY47" s="22"/>
      <c r="CZ47" s="22"/>
      <c r="DA47" s="22"/>
      <c r="DB47" s="22"/>
      <c r="DC47" s="22"/>
      <c r="DD47" s="22"/>
      <c r="DE47" s="22"/>
      <c r="DF47" s="22"/>
      <c r="DG47" s="22"/>
      <c r="DH47" s="22"/>
      <c r="DI47" s="22"/>
      <c r="DJ47" s="22"/>
      <c r="DK47" s="22"/>
      <c r="DL47" s="22"/>
      <c r="DM47" s="22"/>
      <c r="DN47" s="22"/>
      <c r="DO47" s="22"/>
      <c r="DP47" s="22"/>
      <c r="DQ47" s="22"/>
      <c r="DR47" s="22"/>
      <c r="DS47" s="22"/>
      <c r="DT47" s="22"/>
      <c r="DU47" s="22"/>
      <c r="DV47" s="22"/>
      <c r="DW47" s="22"/>
      <c r="DX47" s="22"/>
      <c r="DY47" s="22"/>
      <c r="DZ47" s="22"/>
      <c r="EA47" s="22"/>
      <c r="EB47" s="125">
        <v>0.44791666666666669</v>
      </c>
      <c r="EC47" s="241">
        <f>IF('Temperature Profiles'!AA46&gt;17,(0.0043*('Temperature Profiles'!AA46^2)-0.1116*'Temperature Profiles'!AA46+0.6576)*1000,IF('Temperature Profiles'!AA46&lt;17,(0.0053*('Temperature Profiles'!AA46^2)-0.1876*'Temperature Profiles'!AA46+1.7649)*1000,0))</f>
        <v>924.98203472222201</v>
      </c>
      <c r="ED47" s="22"/>
      <c r="EE47" s="22"/>
      <c r="EF47" s="22"/>
      <c r="EG47" s="22"/>
      <c r="EH47" s="22"/>
      <c r="EI47" s="125">
        <v>0.44791666666666669</v>
      </c>
      <c r="EJ47" s="243">
        <f>IF('Temperature Profiles'!AF46&gt;17,(0.0043*('Temperature Profiles'!AF46^2)-0.1116*'Temperature Profiles'!AF46+0.6576)*1000,IF('Temperature Profiles'!AF46&lt;17,(0.0053*('Temperature Profiles'!AF46^2)-0.1876*'Temperature Profiles'!AF46+1.7649)*1000,0))</f>
        <v>1290.5452986111104</v>
      </c>
      <c r="EK47" s="22"/>
      <c r="EL47" s="22"/>
      <c r="EM47" s="22"/>
      <c r="EN47" s="22"/>
      <c r="EO47" s="22"/>
      <c r="EP47" s="22"/>
      <c r="EQ47" s="22"/>
      <c r="ER47" s="209"/>
    </row>
    <row r="48" spans="1:148" x14ac:dyDescent="0.3">
      <c r="A48" s="123">
        <v>0.44791666666666669</v>
      </c>
      <c r="B48" s="259">
        <f t="shared" si="0"/>
        <v>0</v>
      </c>
      <c r="C48" s="22">
        <f t="shared" si="1"/>
        <v>0</v>
      </c>
      <c r="D48" s="21">
        <f t="shared" si="2"/>
        <v>0</v>
      </c>
      <c r="F48" s="219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125">
        <v>0.45833333333333331</v>
      </c>
      <c r="AK48" s="233">
        <f>IF('Temperature Profiles'!AA47&gt;17,(0.005*('Temperature Profiles'!AA47^2) - 0.1517*'Temperature Profiles'!AA47 + 1.1701)*1000,0)</f>
        <v>0</v>
      </c>
      <c r="AL48" s="22"/>
      <c r="AM48" s="22"/>
      <c r="AN48" s="22"/>
      <c r="AO48" s="22"/>
      <c r="AP48" s="22"/>
      <c r="AQ48" s="125">
        <v>0.45833333333333331</v>
      </c>
      <c r="AR48" s="211">
        <f>IF('Temperature Profiles'!AF47&gt;17,(0.005*('Temperature Profiles'!AF47^2) - 0.1517*'Temperature Profiles'!AF47 + 1.1702)*1000,0)</f>
        <v>1231.939513888889</v>
      </c>
      <c r="AS48" s="22"/>
      <c r="AT48" s="22"/>
      <c r="AU48" s="22"/>
      <c r="AV48" s="22"/>
      <c r="AW48" s="22"/>
      <c r="AX48" s="22"/>
      <c r="AY48" s="22"/>
      <c r="AZ48" s="209"/>
      <c r="BB48" s="219"/>
      <c r="BC48" s="22"/>
      <c r="BD48" s="22"/>
      <c r="BE48" s="22"/>
      <c r="BF48" s="22"/>
      <c r="BG48" s="22"/>
      <c r="BH48" s="22"/>
      <c r="BI48" s="22"/>
      <c r="BJ48" s="22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125">
        <v>0.45833333333333331</v>
      </c>
      <c r="CG48" s="206">
        <f>IF('Temperature Profiles'!AA47&lt;17,(-0.0076*'Temperature Profiles'!AA47+0.1245)*1000,0)</f>
        <v>84.536666666666648</v>
      </c>
      <c r="CH48" s="22"/>
      <c r="CI48" s="22"/>
      <c r="CJ48" s="22"/>
      <c r="CK48" s="22"/>
      <c r="CL48" s="22"/>
      <c r="CM48" s="125">
        <v>0.45833333333333331</v>
      </c>
      <c r="CN48" s="206">
        <f>IF('Temperature Profiles'!AF47&lt;17,(-0.0076*'Temperature Profiles'!AF47+0.1245)*1000,0)</f>
        <v>0</v>
      </c>
      <c r="CO48" s="22"/>
      <c r="CP48" s="22"/>
      <c r="CQ48" s="22"/>
      <c r="CR48" s="22"/>
      <c r="CS48" s="22"/>
      <c r="CT48" s="22"/>
      <c r="CU48" s="22"/>
      <c r="CV48" s="209"/>
      <c r="CX48" s="219"/>
      <c r="CY48" s="22"/>
      <c r="CZ48" s="22"/>
      <c r="DA48" s="22"/>
      <c r="DB48" s="22"/>
      <c r="DC48" s="22"/>
      <c r="DD48" s="22"/>
      <c r="DE48" s="22"/>
      <c r="DF48" s="22"/>
      <c r="DG48" s="22"/>
      <c r="DH48" s="22"/>
      <c r="DI48" s="22"/>
      <c r="DJ48" s="22"/>
      <c r="DK48" s="22"/>
      <c r="DL48" s="22"/>
      <c r="DM48" s="22"/>
      <c r="DN48" s="22"/>
      <c r="DO48" s="22"/>
      <c r="DP48" s="22"/>
      <c r="DQ48" s="22"/>
      <c r="DR48" s="22"/>
      <c r="DS48" s="22"/>
      <c r="DT48" s="22"/>
      <c r="DU48" s="22"/>
      <c r="DV48" s="22"/>
      <c r="DW48" s="22"/>
      <c r="DX48" s="22"/>
      <c r="DY48" s="22"/>
      <c r="DZ48" s="22"/>
      <c r="EA48" s="22"/>
      <c r="EB48" s="125">
        <v>0.45833333333333331</v>
      </c>
      <c r="EC48" s="241">
        <f>IF('Temperature Profiles'!AA47&gt;17,(0.0043*('Temperature Profiles'!AA47^2)-0.1116*'Temperature Profiles'!AA47+0.6576)*1000,IF('Temperature Profiles'!AA47&lt;17,(0.0053*('Temperature Profiles'!AA47^2)-0.1876*'Temperature Profiles'!AA47+1.7649)*1000,0))</f>
        <v>924.98203472222201</v>
      </c>
      <c r="ED48" s="22"/>
      <c r="EE48" s="22"/>
      <c r="EF48" s="22"/>
      <c r="EG48" s="22"/>
      <c r="EH48" s="22"/>
      <c r="EI48" s="125">
        <v>0.45833333333333331</v>
      </c>
      <c r="EJ48" s="243">
        <f>IF('Temperature Profiles'!AF47&gt;17,(0.0043*('Temperature Profiles'!AF47^2)-0.1116*'Temperature Profiles'!AF47+0.6576)*1000,IF('Temperature Profiles'!AF47&lt;17,(0.0053*('Temperature Profiles'!AF47^2)-0.1876*'Temperature Profiles'!AF47+1.7649)*1000,0))</f>
        <v>1290.5452986111104</v>
      </c>
      <c r="EK48" s="22"/>
      <c r="EL48" s="22"/>
      <c r="EM48" s="22"/>
      <c r="EN48" s="22"/>
      <c r="EO48" s="22"/>
      <c r="EP48" s="22"/>
      <c r="EQ48" s="22"/>
      <c r="ER48" s="209"/>
    </row>
    <row r="49" spans="1:148" x14ac:dyDescent="0.3">
      <c r="A49" s="123">
        <v>0.45833333333333331</v>
      </c>
      <c r="B49" s="259">
        <f t="shared" si="0"/>
        <v>0</v>
      </c>
      <c r="C49" s="22">
        <f t="shared" si="1"/>
        <v>0</v>
      </c>
      <c r="D49" s="21">
        <f t="shared" si="2"/>
        <v>0</v>
      </c>
      <c r="F49" s="219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125">
        <v>0.46875</v>
      </c>
      <c r="AK49" s="233">
        <f>IF('Temperature Profiles'!AA48&gt;17,(0.005*('Temperature Profiles'!AA48^2) - 0.1517*'Temperature Profiles'!AA48 + 1.1701)*1000,0)</f>
        <v>0</v>
      </c>
      <c r="AL49" s="22"/>
      <c r="AM49" s="22"/>
      <c r="AN49" s="22"/>
      <c r="AO49" s="22"/>
      <c r="AP49" s="22"/>
      <c r="AQ49" s="125">
        <v>0.46875</v>
      </c>
      <c r="AR49" s="211">
        <f>IF('Temperature Profiles'!AF48&gt;17,(0.005*('Temperature Profiles'!AF48^2) - 0.1517*'Temperature Profiles'!AF48 + 1.1702)*1000,0)</f>
        <v>1409.2778472222221</v>
      </c>
      <c r="AS49" s="22"/>
      <c r="AT49" s="22"/>
      <c r="AU49" s="22"/>
      <c r="AV49" s="22"/>
      <c r="AW49" s="22"/>
      <c r="AX49" s="22"/>
      <c r="AY49" s="22"/>
      <c r="AZ49" s="209"/>
      <c r="BB49" s="219"/>
      <c r="BC49" s="22"/>
      <c r="BD49" s="22"/>
      <c r="BE49" s="22"/>
      <c r="BF49" s="22"/>
      <c r="BG49" s="22"/>
      <c r="BH49" s="22"/>
      <c r="BI49" s="22"/>
      <c r="BJ49" s="22"/>
      <c r="BK49" s="22"/>
      <c r="BL49" s="22"/>
      <c r="BM49" s="22"/>
      <c r="BN49" s="22"/>
      <c r="BO49" s="22"/>
      <c r="BP49" s="22"/>
      <c r="BQ49" s="22"/>
      <c r="BR49" s="22"/>
      <c r="BS49" s="22"/>
      <c r="BT49" s="22"/>
      <c r="BU49" s="22"/>
      <c r="BV49" s="22"/>
      <c r="BW49" s="22"/>
      <c r="BX49" s="22"/>
      <c r="BY49" s="22"/>
      <c r="BZ49" s="22"/>
      <c r="CA49" s="22"/>
      <c r="CB49" s="22"/>
      <c r="CC49" s="22"/>
      <c r="CD49" s="22"/>
      <c r="CE49" s="22"/>
      <c r="CF49" s="125">
        <v>0.46875</v>
      </c>
      <c r="CG49" s="206">
        <f>IF('Temperature Profiles'!AA48&lt;17,(-0.0076*'Temperature Profiles'!AA48+0.1245)*1000,0)</f>
        <v>76.429999999999993</v>
      </c>
      <c r="CH49" s="22"/>
      <c r="CI49" s="22"/>
      <c r="CJ49" s="22"/>
      <c r="CK49" s="22"/>
      <c r="CL49" s="22"/>
      <c r="CM49" s="125">
        <v>0.46875</v>
      </c>
      <c r="CN49" s="206">
        <f>IF('Temperature Profiles'!AF48&lt;17,(-0.0076*'Temperature Profiles'!AF48+0.1245)*1000,0)</f>
        <v>0</v>
      </c>
      <c r="CO49" s="22"/>
      <c r="CP49" s="22"/>
      <c r="CQ49" s="22"/>
      <c r="CR49" s="22"/>
      <c r="CS49" s="22"/>
      <c r="CT49" s="22"/>
      <c r="CU49" s="22"/>
      <c r="CV49" s="209"/>
      <c r="CX49" s="219"/>
      <c r="CY49" s="22"/>
      <c r="CZ49" s="22"/>
      <c r="DA49" s="22"/>
      <c r="DB49" s="22"/>
      <c r="DC49" s="22"/>
      <c r="DD49" s="22"/>
      <c r="DE49" s="22"/>
      <c r="DF49" s="22"/>
      <c r="DG49" s="22"/>
      <c r="DH49" s="22"/>
      <c r="DI49" s="22"/>
      <c r="DJ49" s="22"/>
      <c r="DK49" s="22"/>
      <c r="DL49" s="22"/>
      <c r="DM49" s="22"/>
      <c r="DN49" s="22"/>
      <c r="DO49" s="22"/>
      <c r="DP49" s="22"/>
      <c r="DQ49" s="22"/>
      <c r="DR49" s="22"/>
      <c r="DS49" s="22"/>
      <c r="DT49" s="22"/>
      <c r="DU49" s="22"/>
      <c r="DV49" s="22"/>
      <c r="DW49" s="22"/>
      <c r="DX49" s="22"/>
      <c r="DY49" s="22"/>
      <c r="DZ49" s="22"/>
      <c r="EA49" s="22"/>
      <c r="EB49" s="125">
        <v>0.46875</v>
      </c>
      <c r="EC49" s="241">
        <f>IF('Temperature Profiles'!AA48&gt;17,(0.0043*('Temperature Profiles'!AA48^2)-0.1116*'Temperature Profiles'!AA48+0.6576)*1000,IF('Temperature Profiles'!AA48&lt;17,(0.0053*('Temperature Profiles'!AA48^2)-0.1876*'Temperature Profiles'!AA48+1.7649)*1000,0))</f>
        <v>790.35981249999998</v>
      </c>
      <c r="ED49" s="22"/>
      <c r="EE49" s="22"/>
      <c r="EF49" s="22"/>
      <c r="EG49" s="22"/>
      <c r="EH49" s="22"/>
      <c r="EI49" s="125">
        <v>0.46875</v>
      </c>
      <c r="EJ49" s="243">
        <f>IF('Temperature Profiles'!AF48&gt;17,(0.0043*('Temperature Profiles'!AF48^2)-0.1116*'Temperature Profiles'!AF48+0.6576)*1000,IF('Temperature Profiles'!AF48&lt;17,(0.0053*('Temperature Profiles'!AF48^2)-0.1876*'Temperature Profiles'!AF48+1.7649)*1000,0))</f>
        <v>1463.8044652777783</v>
      </c>
      <c r="EK49" s="22"/>
      <c r="EL49" s="22"/>
      <c r="EM49" s="22"/>
      <c r="EN49" s="22"/>
      <c r="EO49" s="22"/>
      <c r="EP49" s="22"/>
      <c r="EQ49" s="22"/>
      <c r="ER49" s="209"/>
    </row>
    <row r="50" spans="1:148" x14ac:dyDescent="0.3">
      <c r="A50" s="123">
        <v>0.46875</v>
      </c>
      <c r="B50" s="259">
        <f t="shared" si="0"/>
        <v>0</v>
      </c>
      <c r="C50" s="22">
        <f t="shared" si="1"/>
        <v>0</v>
      </c>
      <c r="D50" s="21">
        <f t="shared" si="2"/>
        <v>0</v>
      </c>
      <c r="F50" s="219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125">
        <v>0.47916666666666669</v>
      </c>
      <c r="AK50" s="233">
        <f>IF('Temperature Profiles'!AA49&gt;17,(0.005*('Temperature Profiles'!AA49^2) - 0.1517*'Temperature Profiles'!AA49 + 1.1701)*1000,0)</f>
        <v>0</v>
      </c>
      <c r="AL50" s="22"/>
      <c r="AM50" s="22"/>
      <c r="AN50" s="22"/>
      <c r="AO50" s="22"/>
      <c r="AP50" s="22"/>
      <c r="AQ50" s="125">
        <v>0.47916666666666669</v>
      </c>
      <c r="AR50" s="211">
        <f>IF('Temperature Profiles'!AF49&gt;17,(0.005*('Temperature Profiles'!AF49^2) - 0.1517*'Temperature Profiles'!AF49 + 1.1702)*1000,0)</f>
        <v>1409.2778472222221</v>
      </c>
      <c r="AS50" s="22"/>
      <c r="AT50" s="22"/>
      <c r="AU50" s="22"/>
      <c r="AV50" s="22"/>
      <c r="AW50" s="22"/>
      <c r="AX50" s="22"/>
      <c r="AY50" s="22"/>
      <c r="AZ50" s="209"/>
      <c r="BB50" s="219"/>
      <c r="BC50" s="22"/>
      <c r="BD50" s="22"/>
      <c r="BE50" s="22"/>
      <c r="BF50" s="22"/>
      <c r="BG50" s="22"/>
      <c r="BH50" s="22"/>
      <c r="BI50" s="22"/>
      <c r="BJ50" s="22"/>
      <c r="BK50" s="22"/>
      <c r="BL50" s="22"/>
      <c r="BM50" s="22"/>
      <c r="BN50" s="22"/>
      <c r="BO50" s="22"/>
      <c r="BP50" s="22"/>
      <c r="BQ50" s="22"/>
      <c r="BR50" s="22"/>
      <c r="BS50" s="22"/>
      <c r="BT50" s="22"/>
      <c r="BU50" s="22"/>
      <c r="BV50" s="22"/>
      <c r="BW50" s="22"/>
      <c r="BX50" s="22"/>
      <c r="BY50" s="22"/>
      <c r="BZ50" s="22"/>
      <c r="CA50" s="22"/>
      <c r="CB50" s="22"/>
      <c r="CC50" s="22"/>
      <c r="CD50" s="22"/>
      <c r="CE50" s="22"/>
      <c r="CF50" s="125">
        <v>0.47916666666666669</v>
      </c>
      <c r="CG50" s="206">
        <f>IF('Temperature Profiles'!AA49&lt;17,(-0.0076*'Temperature Profiles'!AA49+0.1245)*1000,0)</f>
        <v>76.429999999999993</v>
      </c>
      <c r="CH50" s="22"/>
      <c r="CI50" s="22"/>
      <c r="CJ50" s="22"/>
      <c r="CK50" s="22"/>
      <c r="CL50" s="22"/>
      <c r="CM50" s="125">
        <v>0.47916666666666669</v>
      </c>
      <c r="CN50" s="206">
        <f>IF('Temperature Profiles'!AF49&lt;17,(-0.0076*'Temperature Profiles'!AF49+0.1245)*1000,0)</f>
        <v>0</v>
      </c>
      <c r="CO50" s="22"/>
      <c r="CP50" s="22"/>
      <c r="CQ50" s="22"/>
      <c r="CR50" s="22"/>
      <c r="CS50" s="22"/>
      <c r="CT50" s="22"/>
      <c r="CU50" s="22"/>
      <c r="CV50" s="209"/>
      <c r="CX50" s="219"/>
      <c r="CY50" s="22"/>
      <c r="CZ50" s="22"/>
      <c r="DA50" s="22"/>
      <c r="DB50" s="22"/>
      <c r="DC50" s="22"/>
      <c r="DD50" s="22"/>
      <c r="DE50" s="22"/>
      <c r="DF50" s="22"/>
      <c r="DG50" s="22"/>
      <c r="DH50" s="22"/>
      <c r="DI50" s="22"/>
      <c r="DJ50" s="22"/>
      <c r="DK50" s="22"/>
      <c r="DL50" s="22"/>
      <c r="DM50" s="22"/>
      <c r="DN50" s="22"/>
      <c r="DO50" s="22"/>
      <c r="DP50" s="22"/>
      <c r="DQ50" s="22"/>
      <c r="DR50" s="22"/>
      <c r="DS50" s="22"/>
      <c r="DT50" s="22"/>
      <c r="DU50" s="22"/>
      <c r="DV50" s="22"/>
      <c r="DW50" s="22"/>
      <c r="DX50" s="22"/>
      <c r="DY50" s="22"/>
      <c r="DZ50" s="22"/>
      <c r="EA50" s="22"/>
      <c r="EB50" s="125">
        <v>0.47916666666666669</v>
      </c>
      <c r="EC50" s="241">
        <f>IF('Temperature Profiles'!AA49&gt;17,(0.0043*('Temperature Profiles'!AA49^2)-0.1116*'Temperature Profiles'!AA49+0.6576)*1000,IF('Temperature Profiles'!AA49&lt;17,(0.0053*('Temperature Profiles'!AA49^2)-0.1876*'Temperature Profiles'!AA49+1.7649)*1000,0))</f>
        <v>790.35981249999998</v>
      </c>
      <c r="ED50" s="22"/>
      <c r="EE50" s="22"/>
      <c r="EF50" s="22"/>
      <c r="EG50" s="22"/>
      <c r="EH50" s="22"/>
      <c r="EI50" s="125">
        <v>0.47916666666666669</v>
      </c>
      <c r="EJ50" s="243">
        <f>IF('Temperature Profiles'!AF49&gt;17,(0.0043*('Temperature Profiles'!AF49^2)-0.1116*'Temperature Profiles'!AF49+0.6576)*1000,IF('Temperature Profiles'!AF49&lt;17,(0.0053*('Temperature Profiles'!AF49^2)-0.1876*'Temperature Profiles'!AF49+1.7649)*1000,0))</f>
        <v>1463.8044652777783</v>
      </c>
      <c r="EK50" s="22"/>
      <c r="EL50" s="22"/>
      <c r="EM50" s="22"/>
      <c r="EN50" s="22"/>
      <c r="EO50" s="22"/>
      <c r="EP50" s="22"/>
      <c r="EQ50" s="22"/>
      <c r="ER50" s="209"/>
    </row>
    <row r="51" spans="1:148" x14ac:dyDescent="0.3">
      <c r="A51" s="123">
        <v>0.47916666666666669</v>
      </c>
      <c r="B51" s="259">
        <f t="shared" si="0"/>
        <v>0</v>
      </c>
      <c r="C51" s="22">
        <f t="shared" si="1"/>
        <v>0</v>
      </c>
      <c r="D51" s="21">
        <f t="shared" si="2"/>
        <v>0</v>
      </c>
      <c r="F51" s="219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125">
        <v>0.48958333333333331</v>
      </c>
      <c r="AK51" s="233">
        <f>IF('Temperature Profiles'!AA50&gt;17,(0.005*('Temperature Profiles'!AA50^2) - 0.1517*'Temperature Profiles'!AA50 + 1.1701)*1000,0)</f>
        <v>0</v>
      </c>
      <c r="AL51" s="22"/>
      <c r="AM51" s="22"/>
      <c r="AN51" s="22"/>
      <c r="AO51" s="22"/>
      <c r="AP51" s="22"/>
      <c r="AQ51" s="125">
        <v>0.48958333333333331</v>
      </c>
      <c r="AR51" s="211">
        <f>IF('Temperature Profiles'!AF50&gt;17,(0.005*('Temperature Profiles'!AF50^2) - 0.1517*'Temperature Profiles'!AF50 + 1.1702)*1000,0)</f>
        <v>1409.2778472222221</v>
      </c>
      <c r="AS51" s="22"/>
      <c r="AT51" s="22"/>
      <c r="AU51" s="22"/>
      <c r="AV51" s="22"/>
      <c r="AW51" s="22"/>
      <c r="AX51" s="22"/>
      <c r="AY51" s="22"/>
      <c r="AZ51" s="209"/>
      <c r="BB51" s="219"/>
      <c r="BC51" s="22"/>
      <c r="BD51" s="22"/>
      <c r="BE51" s="22"/>
      <c r="BF51" s="22"/>
      <c r="BG51" s="22"/>
      <c r="BH51" s="22"/>
      <c r="BI51" s="22"/>
      <c r="BJ51" s="22"/>
      <c r="BK51" s="22"/>
      <c r="BL51" s="22"/>
      <c r="BM51" s="22"/>
      <c r="BN51" s="22"/>
      <c r="BO51" s="22"/>
      <c r="BP51" s="22"/>
      <c r="BQ51" s="22"/>
      <c r="BR51" s="22"/>
      <c r="BS51" s="22"/>
      <c r="BT51" s="22"/>
      <c r="BU51" s="22"/>
      <c r="BV51" s="22"/>
      <c r="BW51" s="22"/>
      <c r="BX51" s="22"/>
      <c r="BY51" s="22"/>
      <c r="BZ51" s="22"/>
      <c r="CA51" s="22"/>
      <c r="CB51" s="22"/>
      <c r="CC51" s="22"/>
      <c r="CD51" s="22"/>
      <c r="CE51" s="22"/>
      <c r="CF51" s="125">
        <v>0.48958333333333331</v>
      </c>
      <c r="CG51" s="206">
        <f>IF('Temperature Profiles'!AA50&lt;17,(-0.0076*'Temperature Profiles'!AA50+0.1245)*1000,0)</f>
        <v>76.429999999999993</v>
      </c>
      <c r="CH51" s="22"/>
      <c r="CI51" s="22"/>
      <c r="CJ51" s="22"/>
      <c r="CK51" s="22"/>
      <c r="CL51" s="22"/>
      <c r="CM51" s="125">
        <v>0.48958333333333331</v>
      </c>
      <c r="CN51" s="206">
        <f>IF('Temperature Profiles'!AF50&lt;17,(-0.0076*'Temperature Profiles'!AF50+0.1245)*1000,0)</f>
        <v>0</v>
      </c>
      <c r="CO51" s="22"/>
      <c r="CP51" s="22"/>
      <c r="CQ51" s="22"/>
      <c r="CR51" s="22"/>
      <c r="CS51" s="22"/>
      <c r="CT51" s="22"/>
      <c r="CU51" s="22"/>
      <c r="CV51" s="209"/>
      <c r="CX51" s="219"/>
      <c r="CY51" s="22"/>
      <c r="CZ51" s="22"/>
      <c r="DA51" s="22"/>
      <c r="DB51" s="22"/>
      <c r="DC51" s="22"/>
      <c r="DD51" s="22"/>
      <c r="DE51" s="22"/>
      <c r="DF51" s="22"/>
      <c r="DG51" s="22"/>
      <c r="DH51" s="22"/>
      <c r="DI51" s="22"/>
      <c r="DJ51" s="22"/>
      <c r="DK51" s="22"/>
      <c r="DL51" s="22"/>
      <c r="DM51" s="22"/>
      <c r="DN51" s="22"/>
      <c r="DO51" s="22"/>
      <c r="DP51" s="22"/>
      <c r="DQ51" s="22"/>
      <c r="DR51" s="22"/>
      <c r="DS51" s="22"/>
      <c r="DT51" s="22"/>
      <c r="DU51" s="22"/>
      <c r="DV51" s="22"/>
      <c r="DW51" s="22"/>
      <c r="DX51" s="22"/>
      <c r="DY51" s="22"/>
      <c r="DZ51" s="22"/>
      <c r="EA51" s="22"/>
      <c r="EB51" s="125">
        <v>0.48958333333333331</v>
      </c>
      <c r="EC51" s="241">
        <f>IF('Temperature Profiles'!AA50&gt;17,(0.0043*('Temperature Profiles'!AA50^2)-0.1116*'Temperature Profiles'!AA50+0.6576)*1000,IF('Temperature Profiles'!AA50&lt;17,(0.0053*('Temperature Profiles'!AA50^2)-0.1876*'Temperature Profiles'!AA50+1.7649)*1000,0))</f>
        <v>790.35981249999998</v>
      </c>
      <c r="ED51" s="22"/>
      <c r="EE51" s="22"/>
      <c r="EF51" s="22"/>
      <c r="EG51" s="22"/>
      <c r="EH51" s="22"/>
      <c r="EI51" s="125">
        <v>0.48958333333333331</v>
      </c>
      <c r="EJ51" s="243">
        <f>IF('Temperature Profiles'!AF50&gt;17,(0.0043*('Temperature Profiles'!AF50^2)-0.1116*'Temperature Profiles'!AF50+0.6576)*1000,IF('Temperature Profiles'!AF50&lt;17,(0.0053*('Temperature Profiles'!AF50^2)-0.1876*'Temperature Profiles'!AF50+1.7649)*1000,0))</f>
        <v>1463.8044652777783</v>
      </c>
      <c r="EK51" s="22"/>
      <c r="EL51" s="22"/>
      <c r="EM51" s="22"/>
      <c r="EN51" s="22"/>
      <c r="EO51" s="22"/>
      <c r="EP51" s="22"/>
      <c r="EQ51" s="22"/>
      <c r="ER51" s="209"/>
    </row>
    <row r="52" spans="1:148" x14ac:dyDescent="0.3">
      <c r="A52" s="123">
        <v>0.48958333333333331</v>
      </c>
      <c r="B52" s="259">
        <f t="shared" si="0"/>
        <v>0</v>
      </c>
      <c r="C52" s="22">
        <f t="shared" si="1"/>
        <v>0</v>
      </c>
      <c r="D52" s="21">
        <f t="shared" si="2"/>
        <v>0</v>
      </c>
      <c r="F52" s="219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125">
        <v>0.5</v>
      </c>
      <c r="AK52" s="233">
        <f>IF('Temperature Profiles'!AA51&gt;17,(0.005*('Temperature Profiles'!AA51^2) - 0.1517*'Temperature Profiles'!AA51 + 1.1701)*1000,0)</f>
        <v>0</v>
      </c>
      <c r="AL52" s="22"/>
      <c r="AM52" s="22"/>
      <c r="AN52" s="22"/>
      <c r="AO52" s="22"/>
      <c r="AP52" s="22"/>
      <c r="AQ52" s="125">
        <v>0.5</v>
      </c>
      <c r="AR52" s="211">
        <f>IF('Temperature Profiles'!AF51&gt;17,(0.005*('Temperature Profiles'!AF51^2) - 0.1517*'Temperature Profiles'!AF51 + 1.1702)*1000,0)</f>
        <v>1409.2778472222221</v>
      </c>
      <c r="AS52" s="22"/>
      <c r="AT52" s="22"/>
      <c r="AU52" s="22"/>
      <c r="AV52" s="22"/>
      <c r="AW52" s="22"/>
      <c r="AX52" s="22"/>
      <c r="AY52" s="22"/>
      <c r="AZ52" s="209"/>
      <c r="BB52" s="219"/>
      <c r="BC52" s="22"/>
      <c r="BD52" s="22"/>
      <c r="BE52" s="22"/>
      <c r="BF52" s="22"/>
      <c r="BG52" s="22"/>
      <c r="BH52" s="22"/>
      <c r="BI52" s="22"/>
      <c r="BJ52" s="22"/>
      <c r="BK52" s="22"/>
      <c r="BL52" s="22"/>
      <c r="BM52" s="22"/>
      <c r="BN52" s="22"/>
      <c r="BO52" s="22"/>
      <c r="BP52" s="22"/>
      <c r="BQ52" s="22"/>
      <c r="BR52" s="22"/>
      <c r="BS52" s="22"/>
      <c r="BT52" s="22"/>
      <c r="BU52" s="22"/>
      <c r="BV52" s="22"/>
      <c r="BW52" s="22"/>
      <c r="BX52" s="22"/>
      <c r="BY52" s="22"/>
      <c r="BZ52" s="22"/>
      <c r="CA52" s="22"/>
      <c r="CB52" s="22"/>
      <c r="CC52" s="22"/>
      <c r="CD52" s="22"/>
      <c r="CE52" s="22"/>
      <c r="CF52" s="125">
        <v>0.5</v>
      </c>
      <c r="CG52" s="206">
        <f>IF('Temperature Profiles'!AA51&lt;17,(-0.0076*'Temperature Profiles'!AA51+0.1245)*1000,0)</f>
        <v>76.429999999999993</v>
      </c>
      <c r="CH52" s="22"/>
      <c r="CI52" s="22"/>
      <c r="CJ52" s="22"/>
      <c r="CK52" s="22"/>
      <c r="CL52" s="22"/>
      <c r="CM52" s="125">
        <v>0.5</v>
      </c>
      <c r="CN52" s="206">
        <f>IF('Temperature Profiles'!AF51&lt;17,(-0.0076*'Temperature Profiles'!AF51+0.1245)*1000,0)</f>
        <v>0</v>
      </c>
      <c r="CO52" s="22"/>
      <c r="CP52" s="22"/>
      <c r="CQ52" s="22"/>
      <c r="CR52" s="22"/>
      <c r="CS52" s="22"/>
      <c r="CT52" s="22"/>
      <c r="CU52" s="22"/>
      <c r="CV52" s="209"/>
      <c r="CX52" s="219"/>
      <c r="CY52" s="22"/>
      <c r="CZ52" s="22"/>
      <c r="DA52" s="22"/>
      <c r="DB52" s="22"/>
      <c r="DC52" s="22"/>
      <c r="DD52" s="22"/>
      <c r="DE52" s="22"/>
      <c r="DF52" s="22"/>
      <c r="DG52" s="22"/>
      <c r="DH52" s="22"/>
      <c r="DI52" s="22"/>
      <c r="DJ52" s="22"/>
      <c r="DK52" s="22"/>
      <c r="DL52" s="22"/>
      <c r="DM52" s="22"/>
      <c r="DN52" s="22"/>
      <c r="DO52" s="22"/>
      <c r="DP52" s="22"/>
      <c r="DQ52" s="22"/>
      <c r="DR52" s="22"/>
      <c r="DS52" s="22"/>
      <c r="DT52" s="22"/>
      <c r="DU52" s="22"/>
      <c r="DV52" s="22"/>
      <c r="DW52" s="22"/>
      <c r="DX52" s="22"/>
      <c r="DY52" s="22"/>
      <c r="DZ52" s="22"/>
      <c r="EA52" s="22"/>
      <c r="EB52" s="125">
        <v>0.5</v>
      </c>
      <c r="EC52" s="241">
        <f>IF('Temperature Profiles'!AA51&gt;17,(0.0043*('Temperature Profiles'!AA51^2)-0.1116*'Temperature Profiles'!AA51+0.6576)*1000,IF('Temperature Profiles'!AA51&lt;17,(0.0053*('Temperature Profiles'!AA51^2)-0.1876*'Temperature Profiles'!AA51+1.7649)*1000,0))</f>
        <v>790.35981249999998</v>
      </c>
      <c r="ED52" s="22"/>
      <c r="EE52" s="22"/>
      <c r="EF52" s="22"/>
      <c r="EG52" s="22"/>
      <c r="EH52" s="22"/>
      <c r="EI52" s="125">
        <v>0.5</v>
      </c>
      <c r="EJ52" s="243">
        <f>IF('Temperature Profiles'!AF51&gt;17,(0.0043*('Temperature Profiles'!AF51^2)-0.1116*'Temperature Profiles'!AF51+0.6576)*1000,IF('Temperature Profiles'!AF51&lt;17,(0.0053*('Temperature Profiles'!AF51^2)-0.1876*'Temperature Profiles'!AF51+1.7649)*1000,0))</f>
        <v>1463.8044652777783</v>
      </c>
      <c r="EK52" s="22"/>
      <c r="EL52" s="22"/>
      <c r="EM52" s="22"/>
      <c r="EN52" s="22"/>
      <c r="EO52" s="22"/>
      <c r="EP52" s="22"/>
      <c r="EQ52" s="22"/>
      <c r="ER52" s="209"/>
    </row>
    <row r="53" spans="1:148" x14ac:dyDescent="0.3">
      <c r="A53" s="123">
        <v>0.5</v>
      </c>
      <c r="B53" s="259">
        <f t="shared" si="0"/>
        <v>0</v>
      </c>
      <c r="C53" s="22">
        <f t="shared" si="1"/>
        <v>0</v>
      </c>
      <c r="D53" s="21">
        <f t="shared" si="2"/>
        <v>0</v>
      </c>
      <c r="F53" s="219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125">
        <v>0.51041666666666663</v>
      </c>
      <c r="AK53" s="233">
        <f>IF('Temperature Profiles'!AA52&gt;17,(0.005*('Temperature Profiles'!AA52^2) - 0.1517*'Temperature Profiles'!AA52 + 1.1701)*1000,0)</f>
        <v>0</v>
      </c>
      <c r="AL53" s="22"/>
      <c r="AM53" s="22"/>
      <c r="AN53" s="22"/>
      <c r="AO53" s="22"/>
      <c r="AP53" s="22"/>
      <c r="AQ53" s="125">
        <v>0.51041666666666663</v>
      </c>
      <c r="AR53" s="211">
        <f>IF('Temperature Profiles'!AF52&gt;17,(0.005*('Temperature Profiles'!AF52^2) - 0.1517*'Temperature Profiles'!AF52 + 1.1702)*1000,0)</f>
        <v>1768.9406249999995</v>
      </c>
      <c r="AS53" s="22"/>
      <c r="AT53" s="22"/>
      <c r="AU53" s="22"/>
      <c r="AV53" s="22"/>
      <c r="AW53" s="22"/>
      <c r="AX53" s="22"/>
      <c r="AY53" s="22"/>
      <c r="AZ53" s="209"/>
      <c r="BB53" s="219"/>
      <c r="BC53" s="22"/>
      <c r="BD53" s="22"/>
      <c r="BE53" s="22"/>
      <c r="BF53" s="22"/>
      <c r="BG53" s="22"/>
      <c r="BH53" s="22"/>
      <c r="BI53" s="22"/>
      <c r="BJ53" s="22"/>
      <c r="BK53" s="22"/>
      <c r="BL53" s="22"/>
      <c r="BM53" s="22"/>
      <c r="BN53" s="22"/>
      <c r="BO53" s="22"/>
      <c r="BP53" s="22"/>
      <c r="BQ53" s="22"/>
      <c r="BR53" s="22"/>
      <c r="BS53" s="22"/>
      <c r="BT53" s="22"/>
      <c r="BU53" s="22"/>
      <c r="BV53" s="22"/>
      <c r="BW53" s="22"/>
      <c r="BX53" s="22"/>
      <c r="BY53" s="22"/>
      <c r="BZ53" s="22"/>
      <c r="CA53" s="22"/>
      <c r="CB53" s="22"/>
      <c r="CC53" s="22"/>
      <c r="CD53" s="22"/>
      <c r="CE53" s="22"/>
      <c r="CF53" s="125">
        <v>0.51041666666666663</v>
      </c>
      <c r="CG53" s="206">
        <f>IF('Temperature Profiles'!AA52&lt;17,(-0.0076*'Temperature Profiles'!AA52+0.1245)*1000,0)</f>
        <v>66.043333333333337</v>
      </c>
      <c r="CH53" s="22"/>
      <c r="CI53" s="22"/>
      <c r="CJ53" s="22"/>
      <c r="CK53" s="22"/>
      <c r="CL53" s="22"/>
      <c r="CM53" s="125">
        <v>0.51041666666666663</v>
      </c>
      <c r="CN53" s="206">
        <f>IF('Temperature Profiles'!AF52&lt;17,(-0.0076*'Temperature Profiles'!AF52+0.1245)*1000,0)</f>
        <v>0</v>
      </c>
      <c r="CO53" s="22"/>
      <c r="CP53" s="22"/>
      <c r="CQ53" s="22"/>
      <c r="CR53" s="22"/>
      <c r="CS53" s="22"/>
      <c r="CT53" s="22"/>
      <c r="CU53" s="22"/>
      <c r="CV53" s="209"/>
      <c r="CX53" s="219"/>
      <c r="CY53" s="22"/>
      <c r="CZ53" s="22"/>
      <c r="DA53" s="22"/>
      <c r="DB53" s="22"/>
      <c r="DC53" s="22"/>
      <c r="DD53" s="22"/>
      <c r="DE53" s="22"/>
      <c r="DF53" s="22"/>
      <c r="DG53" s="22"/>
      <c r="DH53" s="22"/>
      <c r="DI53" s="22"/>
      <c r="DJ53" s="22"/>
      <c r="DK53" s="22"/>
      <c r="DL53" s="22"/>
      <c r="DM53" s="22"/>
      <c r="DN53" s="22"/>
      <c r="DO53" s="22"/>
      <c r="DP53" s="22"/>
      <c r="DQ53" s="22"/>
      <c r="DR53" s="22"/>
      <c r="DS53" s="22"/>
      <c r="DT53" s="22"/>
      <c r="DU53" s="22"/>
      <c r="DV53" s="22"/>
      <c r="DW53" s="22"/>
      <c r="DX53" s="22"/>
      <c r="DY53" s="22"/>
      <c r="DZ53" s="22"/>
      <c r="EA53" s="22"/>
      <c r="EB53" s="125">
        <v>0.51041666666666663</v>
      </c>
      <c r="EC53" s="241">
        <f>IF('Temperature Profiles'!AA52&gt;17,(0.0043*('Temperature Profiles'!AA52^2)-0.1116*'Temperature Profiles'!AA52+0.6576)*1000,IF('Temperature Profiles'!AA52&lt;17,(0.0053*('Temperature Profiles'!AA52^2)-0.1876*'Temperature Profiles'!AA52+1.7649)*1000,0))</f>
        <v>635.50053472222248</v>
      </c>
      <c r="ED53" s="22"/>
      <c r="EE53" s="22"/>
      <c r="EF53" s="22"/>
      <c r="EG53" s="22"/>
      <c r="EH53" s="22"/>
      <c r="EI53" s="125">
        <v>0.51041666666666663</v>
      </c>
      <c r="EJ53" s="243">
        <f>IF('Temperature Profiles'!AF52&gt;17,(0.0043*('Temperature Profiles'!AF52^2)-0.1116*'Temperature Profiles'!AF52+0.6576)*1000,IF('Temperature Profiles'!AF52&lt;17,(0.0053*('Temperature Profiles'!AF52^2)-0.1876*'Temperature Profiles'!AF52+1.7649)*1000,0))</f>
        <v>1811.4671874999995</v>
      </c>
      <c r="EK53" s="22"/>
      <c r="EL53" s="22"/>
      <c r="EM53" s="22"/>
      <c r="EN53" s="22"/>
      <c r="EO53" s="22"/>
      <c r="EP53" s="22"/>
      <c r="EQ53" s="22"/>
      <c r="ER53" s="209"/>
    </row>
    <row r="54" spans="1:148" x14ac:dyDescent="0.3">
      <c r="A54" s="123">
        <v>0.51041666666666663</v>
      </c>
      <c r="B54" s="259">
        <f t="shared" si="0"/>
        <v>0</v>
      </c>
      <c r="C54" s="22">
        <f t="shared" si="1"/>
        <v>0</v>
      </c>
      <c r="D54" s="21">
        <f t="shared" si="2"/>
        <v>0</v>
      </c>
      <c r="F54" s="219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125">
        <v>0.52083333333333337</v>
      </c>
      <c r="AK54" s="233">
        <f>IF('Temperature Profiles'!AA53&gt;17,(0.005*('Temperature Profiles'!AA53^2) - 0.1517*'Temperature Profiles'!AA53 + 1.1701)*1000,0)</f>
        <v>0</v>
      </c>
      <c r="AL54" s="22"/>
      <c r="AM54" s="22"/>
      <c r="AN54" s="22"/>
      <c r="AO54" s="22"/>
      <c r="AP54" s="22"/>
      <c r="AQ54" s="125">
        <v>0.52083333333333337</v>
      </c>
      <c r="AR54" s="211">
        <f>IF('Temperature Profiles'!AF53&gt;17,(0.005*('Temperature Profiles'!AF53^2) - 0.1517*'Temperature Profiles'!AF53 + 1.1702)*1000,0)</f>
        <v>1768.9406249999995</v>
      </c>
      <c r="AS54" s="22"/>
      <c r="AT54" s="22"/>
      <c r="AU54" s="22"/>
      <c r="AV54" s="22"/>
      <c r="AW54" s="22"/>
      <c r="AX54" s="22"/>
      <c r="AY54" s="22"/>
      <c r="AZ54" s="209"/>
      <c r="BB54" s="219"/>
      <c r="BC54" s="22"/>
      <c r="BD54" s="22"/>
      <c r="BE54" s="22"/>
      <c r="BF54" s="22"/>
      <c r="BG54" s="22"/>
      <c r="BH54" s="22"/>
      <c r="BI54" s="22"/>
      <c r="BJ54" s="22"/>
      <c r="BK54" s="22"/>
      <c r="BL54" s="22"/>
      <c r="BM54" s="22"/>
      <c r="BN54" s="22"/>
      <c r="BO54" s="22"/>
      <c r="BP54" s="22"/>
      <c r="BQ54" s="22"/>
      <c r="BR54" s="22"/>
      <c r="BS54" s="22"/>
      <c r="BT54" s="22"/>
      <c r="BU54" s="22"/>
      <c r="BV54" s="22"/>
      <c r="BW54" s="22"/>
      <c r="BX54" s="22"/>
      <c r="BY54" s="22"/>
      <c r="BZ54" s="22"/>
      <c r="CA54" s="22"/>
      <c r="CB54" s="22"/>
      <c r="CC54" s="22"/>
      <c r="CD54" s="22"/>
      <c r="CE54" s="22"/>
      <c r="CF54" s="125">
        <v>0.52083333333333337</v>
      </c>
      <c r="CG54" s="206">
        <f>IF('Temperature Profiles'!AA53&lt;17,(-0.0076*'Temperature Profiles'!AA53+0.1245)*1000,0)</f>
        <v>66.043333333333337</v>
      </c>
      <c r="CH54" s="22"/>
      <c r="CI54" s="22"/>
      <c r="CJ54" s="22"/>
      <c r="CK54" s="22"/>
      <c r="CL54" s="22"/>
      <c r="CM54" s="125">
        <v>0.52083333333333337</v>
      </c>
      <c r="CN54" s="206">
        <f>IF('Temperature Profiles'!AF53&lt;17,(-0.0076*'Temperature Profiles'!AF53+0.1245)*1000,0)</f>
        <v>0</v>
      </c>
      <c r="CO54" s="22"/>
      <c r="CP54" s="22"/>
      <c r="CQ54" s="22"/>
      <c r="CR54" s="22"/>
      <c r="CS54" s="22"/>
      <c r="CT54" s="22"/>
      <c r="CU54" s="22"/>
      <c r="CV54" s="209"/>
      <c r="CX54" s="219"/>
      <c r="CY54" s="22"/>
      <c r="CZ54" s="22"/>
      <c r="DA54" s="22"/>
      <c r="DB54" s="22"/>
      <c r="DC54" s="22"/>
      <c r="DD54" s="22"/>
      <c r="DE54" s="22"/>
      <c r="DF54" s="22"/>
      <c r="DG54" s="22"/>
      <c r="DH54" s="22"/>
      <c r="DI54" s="22"/>
      <c r="DJ54" s="22"/>
      <c r="DK54" s="22"/>
      <c r="DL54" s="22"/>
      <c r="DM54" s="22"/>
      <c r="DN54" s="22"/>
      <c r="DO54" s="22"/>
      <c r="DP54" s="22"/>
      <c r="DQ54" s="22"/>
      <c r="DR54" s="22"/>
      <c r="DS54" s="22"/>
      <c r="DT54" s="22"/>
      <c r="DU54" s="22"/>
      <c r="DV54" s="22"/>
      <c r="DW54" s="22"/>
      <c r="DX54" s="22"/>
      <c r="DY54" s="22"/>
      <c r="DZ54" s="22"/>
      <c r="EA54" s="22"/>
      <c r="EB54" s="125">
        <v>0.52083333333333337</v>
      </c>
      <c r="EC54" s="241">
        <f>IF('Temperature Profiles'!AA53&gt;17,(0.0043*('Temperature Profiles'!AA53^2)-0.1116*'Temperature Profiles'!AA53+0.6576)*1000,IF('Temperature Profiles'!AA53&lt;17,(0.0053*('Temperature Profiles'!AA53^2)-0.1876*'Temperature Profiles'!AA53+1.7649)*1000,0))</f>
        <v>635.50053472222248</v>
      </c>
      <c r="ED54" s="22"/>
      <c r="EE54" s="22"/>
      <c r="EF54" s="22"/>
      <c r="EG54" s="22"/>
      <c r="EH54" s="22"/>
      <c r="EI54" s="125">
        <v>0.52083333333333337</v>
      </c>
      <c r="EJ54" s="243">
        <f>IF('Temperature Profiles'!AF53&gt;17,(0.0043*('Temperature Profiles'!AF53^2)-0.1116*'Temperature Profiles'!AF53+0.6576)*1000,IF('Temperature Profiles'!AF53&lt;17,(0.0053*('Temperature Profiles'!AF53^2)-0.1876*'Temperature Profiles'!AF53+1.7649)*1000,0))</f>
        <v>1811.4671874999995</v>
      </c>
      <c r="EK54" s="22"/>
      <c r="EL54" s="22"/>
      <c r="EM54" s="22"/>
      <c r="EN54" s="22"/>
      <c r="EO54" s="22"/>
      <c r="EP54" s="22"/>
      <c r="EQ54" s="22"/>
      <c r="ER54" s="209"/>
    </row>
    <row r="55" spans="1:148" x14ac:dyDescent="0.3">
      <c r="A55" s="123">
        <v>0.52083333333333337</v>
      </c>
      <c r="B55" s="259">
        <f t="shared" si="0"/>
        <v>0</v>
      </c>
      <c r="C55" s="22">
        <f t="shared" si="1"/>
        <v>0</v>
      </c>
      <c r="D55" s="21">
        <f t="shared" si="2"/>
        <v>0</v>
      </c>
      <c r="F55" s="219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125">
        <v>0.53125</v>
      </c>
      <c r="AK55" s="233">
        <f>IF('Temperature Profiles'!AA54&gt;17,(0.005*('Temperature Profiles'!AA54^2) - 0.1517*'Temperature Profiles'!AA54 + 1.1701)*1000,0)</f>
        <v>0</v>
      </c>
      <c r="AL55" s="22"/>
      <c r="AM55" s="22"/>
      <c r="AN55" s="22"/>
      <c r="AO55" s="22"/>
      <c r="AP55" s="22"/>
      <c r="AQ55" s="125">
        <v>0.53125</v>
      </c>
      <c r="AR55" s="211">
        <f>IF('Temperature Profiles'!AF54&gt;17,(0.005*('Temperature Profiles'!AF54^2) - 0.1517*'Temperature Profiles'!AF54 + 1.1702)*1000,0)</f>
        <v>1768.9406249999995</v>
      </c>
      <c r="AS55" s="22"/>
      <c r="AT55" s="22"/>
      <c r="AU55" s="22"/>
      <c r="AV55" s="22"/>
      <c r="AW55" s="22"/>
      <c r="AX55" s="22"/>
      <c r="AY55" s="22"/>
      <c r="AZ55" s="209"/>
      <c r="BB55" s="219"/>
      <c r="BC55" s="22"/>
      <c r="BD55" s="22"/>
      <c r="BE55" s="22"/>
      <c r="BF55" s="22"/>
      <c r="BG55" s="22"/>
      <c r="BH55" s="22"/>
      <c r="BI55" s="22"/>
      <c r="BJ55" s="22"/>
      <c r="BK55" s="22"/>
      <c r="BL55" s="22"/>
      <c r="BM55" s="22"/>
      <c r="BN55" s="22"/>
      <c r="BO55" s="22"/>
      <c r="BP55" s="22"/>
      <c r="BQ55" s="22"/>
      <c r="BR55" s="22"/>
      <c r="BS55" s="22"/>
      <c r="BT55" s="22"/>
      <c r="BU55" s="22"/>
      <c r="BV55" s="22"/>
      <c r="BW55" s="22"/>
      <c r="BX55" s="22"/>
      <c r="BY55" s="22"/>
      <c r="BZ55" s="22"/>
      <c r="CA55" s="22"/>
      <c r="CB55" s="22"/>
      <c r="CC55" s="22"/>
      <c r="CD55" s="22"/>
      <c r="CE55" s="22"/>
      <c r="CF55" s="125">
        <v>0.53125</v>
      </c>
      <c r="CG55" s="206">
        <f>IF('Temperature Profiles'!AA54&lt;17,(-0.0076*'Temperature Profiles'!AA54+0.1245)*1000,0)</f>
        <v>66.043333333333337</v>
      </c>
      <c r="CH55" s="22"/>
      <c r="CI55" s="22"/>
      <c r="CJ55" s="22"/>
      <c r="CK55" s="22"/>
      <c r="CL55" s="22"/>
      <c r="CM55" s="125">
        <v>0.53125</v>
      </c>
      <c r="CN55" s="206">
        <f>IF('Temperature Profiles'!AF54&lt;17,(-0.0076*'Temperature Profiles'!AF54+0.1245)*1000,0)</f>
        <v>0</v>
      </c>
      <c r="CO55" s="22"/>
      <c r="CP55" s="22"/>
      <c r="CQ55" s="22"/>
      <c r="CR55" s="22"/>
      <c r="CS55" s="22"/>
      <c r="CT55" s="22"/>
      <c r="CU55" s="22"/>
      <c r="CV55" s="209"/>
      <c r="CX55" s="219"/>
      <c r="CY55" s="22"/>
      <c r="CZ55" s="22"/>
      <c r="DA55" s="22"/>
      <c r="DB55" s="22"/>
      <c r="DC55" s="22"/>
      <c r="DD55" s="22"/>
      <c r="DE55" s="22"/>
      <c r="DF55" s="22"/>
      <c r="DG55" s="22"/>
      <c r="DH55" s="22"/>
      <c r="DI55" s="22"/>
      <c r="DJ55" s="22"/>
      <c r="DK55" s="22"/>
      <c r="DL55" s="22"/>
      <c r="DM55" s="22"/>
      <c r="DN55" s="22"/>
      <c r="DO55" s="22"/>
      <c r="DP55" s="22"/>
      <c r="DQ55" s="22"/>
      <c r="DR55" s="22"/>
      <c r="DS55" s="22"/>
      <c r="DT55" s="22"/>
      <c r="DU55" s="22"/>
      <c r="DV55" s="22"/>
      <c r="DW55" s="22"/>
      <c r="DX55" s="22"/>
      <c r="DY55" s="22"/>
      <c r="DZ55" s="22"/>
      <c r="EA55" s="22"/>
      <c r="EB55" s="125">
        <v>0.53125</v>
      </c>
      <c r="EC55" s="241">
        <f>IF('Temperature Profiles'!AA54&gt;17,(0.0043*('Temperature Profiles'!AA54^2)-0.1116*'Temperature Profiles'!AA54+0.6576)*1000,IF('Temperature Profiles'!AA54&lt;17,(0.0053*('Temperature Profiles'!AA54^2)-0.1876*'Temperature Profiles'!AA54+1.7649)*1000,0))</f>
        <v>635.50053472222248</v>
      </c>
      <c r="ED55" s="22"/>
      <c r="EE55" s="22"/>
      <c r="EF55" s="22"/>
      <c r="EG55" s="22"/>
      <c r="EH55" s="22"/>
      <c r="EI55" s="125">
        <v>0.53125</v>
      </c>
      <c r="EJ55" s="243">
        <f>IF('Temperature Profiles'!AF54&gt;17,(0.0043*('Temperature Profiles'!AF54^2)-0.1116*'Temperature Profiles'!AF54+0.6576)*1000,IF('Temperature Profiles'!AF54&lt;17,(0.0053*('Temperature Profiles'!AF54^2)-0.1876*'Temperature Profiles'!AF54+1.7649)*1000,0))</f>
        <v>1811.4671874999995</v>
      </c>
      <c r="EK55" s="22"/>
      <c r="EL55" s="22"/>
      <c r="EM55" s="22"/>
      <c r="EN55" s="22"/>
      <c r="EO55" s="22"/>
      <c r="EP55" s="22"/>
      <c r="EQ55" s="22"/>
      <c r="ER55" s="209"/>
    </row>
    <row r="56" spans="1:148" x14ac:dyDescent="0.3">
      <c r="A56" s="123">
        <v>0.53125</v>
      </c>
      <c r="B56" s="259">
        <f t="shared" si="0"/>
        <v>0</v>
      </c>
      <c r="C56" s="22">
        <f t="shared" si="1"/>
        <v>0</v>
      </c>
      <c r="D56" s="21">
        <f t="shared" si="2"/>
        <v>0</v>
      </c>
      <c r="F56" s="219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125">
        <v>0.54166666666666663</v>
      </c>
      <c r="AK56" s="233">
        <f>IF('Temperature Profiles'!AA55&gt;17,(0.005*('Temperature Profiles'!AA55^2) - 0.1517*'Temperature Profiles'!AA55 + 1.1701)*1000,0)</f>
        <v>0</v>
      </c>
      <c r="AL56" s="22"/>
      <c r="AM56" s="22"/>
      <c r="AN56" s="22"/>
      <c r="AO56" s="22"/>
      <c r="AP56" s="22"/>
      <c r="AQ56" s="125">
        <v>0.54166666666666663</v>
      </c>
      <c r="AR56" s="211">
        <f>IF('Temperature Profiles'!AF55&gt;17,(0.005*('Temperature Profiles'!AF55^2) - 0.1517*'Temperature Profiles'!AF55 + 1.1702)*1000,0)</f>
        <v>1768.9406249999995</v>
      </c>
      <c r="AS56" s="22"/>
      <c r="AT56" s="22"/>
      <c r="AU56" s="22"/>
      <c r="AV56" s="22"/>
      <c r="AW56" s="22"/>
      <c r="AX56" s="22"/>
      <c r="AY56" s="22"/>
      <c r="AZ56" s="209"/>
      <c r="BB56" s="219"/>
      <c r="BC56" s="22"/>
      <c r="BD56" s="22"/>
      <c r="BE56" s="22"/>
      <c r="BF56" s="22"/>
      <c r="BG56" s="22"/>
      <c r="BH56" s="22"/>
      <c r="BI56" s="22"/>
      <c r="BJ56" s="22"/>
      <c r="BK56" s="22"/>
      <c r="BL56" s="22"/>
      <c r="BM56" s="22"/>
      <c r="BN56" s="22"/>
      <c r="BO56" s="22"/>
      <c r="BP56" s="22"/>
      <c r="BQ56" s="22"/>
      <c r="BR56" s="22"/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2"/>
      <c r="CD56" s="22"/>
      <c r="CE56" s="22"/>
      <c r="CF56" s="125">
        <v>0.54166666666666663</v>
      </c>
      <c r="CG56" s="206">
        <f>IF('Temperature Profiles'!AA55&lt;17,(-0.0076*'Temperature Profiles'!AA55+0.1245)*1000,0)</f>
        <v>66.043333333333337</v>
      </c>
      <c r="CH56" s="22"/>
      <c r="CI56" s="22"/>
      <c r="CJ56" s="22"/>
      <c r="CK56" s="22"/>
      <c r="CL56" s="22"/>
      <c r="CM56" s="125">
        <v>0.54166666666666663</v>
      </c>
      <c r="CN56" s="206">
        <f>IF('Temperature Profiles'!AF55&lt;17,(-0.0076*'Temperature Profiles'!AF55+0.1245)*1000,0)</f>
        <v>0</v>
      </c>
      <c r="CO56" s="22"/>
      <c r="CP56" s="22"/>
      <c r="CQ56" s="22"/>
      <c r="CR56" s="22"/>
      <c r="CS56" s="22"/>
      <c r="CT56" s="22"/>
      <c r="CU56" s="22"/>
      <c r="CV56" s="209"/>
      <c r="CX56" s="219"/>
      <c r="CY56" s="22"/>
      <c r="CZ56" s="22"/>
      <c r="DA56" s="22"/>
      <c r="DB56" s="22"/>
      <c r="DC56" s="22"/>
      <c r="DD56" s="22"/>
      <c r="DE56" s="22"/>
      <c r="DF56" s="22"/>
      <c r="DG56" s="22"/>
      <c r="DH56" s="22"/>
      <c r="DI56" s="22"/>
      <c r="DJ56" s="22"/>
      <c r="DK56" s="22"/>
      <c r="DL56" s="22"/>
      <c r="DM56" s="22"/>
      <c r="DN56" s="22"/>
      <c r="DO56" s="22"/>
      <c r="DP56" s="22"/>
      <c r="DQ56" s="22"/>
      <c r="DR56" s="22"/>
      <c r="DS56" s="22"/>
      <c r="DT56" s="22"/>
      <c r="DU56" s="22"/>
      <c r="DV56" s="22"/>
      <c r="DW56" s="22"/>
      <c r="DX56" s="22"/>
      <c r="DY56" s="22"/>
      <c r="DZ56" s="22"/>
      <c r="EA56" s="22"/>
      <c r="EB56" s="125">
        <v>0.54166666666666663</v>
      </c>
      <c r="EC56" s="241">
        <f>IF('Temperature Profiles'!AA55&gt;17,(0.0043*('Temperature Profiles'!AA55^2)-0.1116*'Temperature Profiles'!AA55+0.6576)*1000,IF('Temperature Profiles'!AA55&lt;17,(0.0053*('Temperature Profiles'!AA55^2)-0.1876*'Temperature Profiles'!AA55+1.7649)*1000,0))</f>
        <v>635.50053472222248</v>
      </c>
      <c r="ED56" s="22"/>
      <c r="EE56" s="22"/>
      <c r="EF56" s="22"/>
      <c r="EG56" s="22"/>
      <c r="EH56" s="22"/>
      <c r="EI56" s="125">
        <v>0.54166666666666663</v>
      </c>
      <c r="EJ56" s="243">
        <f>IF('Temperature Profiles'!AF55&gt;17,(0.0043*('Temperature Profiles'!AF55^2)-0.1116*'Temperature Profiles'!AF55+0.6576)*1000,IF('Temperature Profiles'!AF55&lt;17,(0.0053*('Temperature Profiles'!AF55^2)-0.1876*'Temperature Profiles'!AF55+1.7649)*1000,0))</f>
        <v>1811.4671874999995</v>
      </c>
      <c r="EK56" s="22"/>
      <c r="EL56" s="22"/>
      <c r="EM56" s="22"/>
      <c r="EN56" s="22"/>
      <c r="EO56" s="22"/>
      <c r="EP56" s="22"/>
      <c r="EQ56" s="22"/>
      <c r="ER56" s="209"/>
    </row>
    <row r="57" spans="1:148" x14ac:dyDescent="0.3">
      <c r="A57" s="123">
        <v>0.54166666666666663</v>
      </c>
      <c r="B57" s="259">
        <f t="shared" si="0"/>
        <v>0</v>
      </c>
      <c r="C57" s="22">
        <f t="shared" si="1"/>
        <v>0</v>
      </c>
      <c r="D57" s="21">
        <f t="shared" si="2"/>
        <v>0</v>
      </c>
      <c r="F57" s="219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125">
        <v>0.55208333333333337</v>
      </c>
      <c r="AK57" s="233">
        <f>IF('Temperature Profiles'!AA56&gt;17,(0.005*('Temperature Profiles'!AA56^2) - 0.1517*'Temperature Profiles'!AA56 + 1.1701)*1000,0)</f>
        <v>0</v>
      </c>
      <c r="AL57" s="22"/>
      <c r="AM57" s="22"/>
      <c r="AN57" s="22"/>
      <c r="AO57" s="22"/>
      <c r="AP57" s="22"/>
      <c r="AQ57" s="125">
        <v>0.55208333333333337</v>
      </c>
      <c r="AR57" s="211">
        <f>IF('Temperature Profiles'!AF56&gt;17,(0.005*('Temperature Profiles'!AF56^2) - 0.1517*'Temperature Profiles'!AF56 + 1.1702)*1000,0)</f>
        <v>1882.9706250000017</v>
      </c>
      <c r="AS57" s="22"/>
      <c r="AT57" s="22"/>
      <c r="AU57" s="22"/>
      <c r="AV57" s="22"/>
      <c r="AW57" s="22"/>
      <c r="AX57" s="22"/>
      <c r="AY57" s="22"/>
      <c r="AZ57" s="209"/>
      <c r="BB57" s="219"/>
      <c r="BC57" s="22"/>
      <c r="BD57" s="22"/>
      <c r="BE57" s="22"/>
      <c r="BF57" s="22"/>
      <c r="BG57" s="22"/>
      <c r="BH57" s="22"/>
      <c r="BI57" s="22"/>
      <c r="BJ57" s="22"/>
      <c r="BK57" s="22"/>
      <c r="BL57" s="22"/>
      <c r="BM57" s="22"/>
      <c r="BN57" s="22"/>
      <c r="BO57" s="22"/>
      <c r="BP57" s="22"/>
      <c r="BQ57" s="22"/>
      <c r="BR57" s="22"/>
      <c r="BS57" s="22"/>
      <c r="BT57" s="22"/>
      <c r="BU57" s="22"/>
      <c r="BV57" s="22"/>
      <c r="BW57" s="22"/>
      <c r="BX57" s="22"/>
      <c r="BY57" s="22"/>
      <c r="BZ57" s="22"/>
      <c r="CA57" s="22"/>
      <c r="CB57" s="22"/>
      <c r="CC57" s="22"/>
      <c r="CD57" s="22"/>
      <c r="CE57" s="22"/>
      <c r="CF57" s="125">
        <v>0.55208333333333337</v>
      </c>
      <c r="CG57" s="206">
        <f>IF('Temperature Profiles'!AA56&lt;17,(-0.0076*'Temperature Profiles'!AA56+0.1245)*1000,0)</f>
        <v>57.999999999999993</v>
      </c>
      <c r="CH57" s="22"/>
      <c r="CI57" s="22"/>
      <c r="CJ57" s="22"/>
      <c r="CK57" s="22"/>
      <c r="CL57" s="22"/>
      <c r="CM57" s="125">
        <v>0.55208333333333337</v>
      </c>
      <c r="CN57" s="206">
        <f>IF('Temperature Profiles'!AF56&lt;17,(-0.0076*'Temperature Profiles'!AF56+0.1245)*1000,0)</f>
        <v>0</v>
      </c>
      <c r="CO57" s="22"/>
      <c r="CP57" s="22"/>
      <c r="CQ57" s="22"/>
      <c r="CR57" s="22"/>
      <c r="CS57" s="22"/>
      <c r="CT57" s="22"/>
      <c r="CU57" s="22"/>
      <c r="CV57" s="209"/>
      <c r="CX57" s="219"/>
      <c r="CY57" s="22"/>
      <c r="CZ57" s="22"/>
      <c r="DA57" s="22"/>
      <c r="DB57" s="22"/>
      <c r="DC57" s="22"/>
      <c r="DD57" s="22"/>
      <c r="DE57" s="22"/>
      <c r="DF57" s="22"/>
      <c r="DG57" s="22"/>
      <c r="DH57" s="22"/>
      <c r="DI57" s="22"/>
      <c r="DJ57" s="22"/>
      <c r="DK57" s="22"/>
      <c r="DL57" s="22"/>
      <c r="DM57" s="22"/>
      <c r="DN57" s="22"/>
      <c r="DO57" s="22"/>
      <c r="DP57" s="22"/>
      <c r="DQ57" s="22"/>
      <c r="DR57" s="22"/>
      <c r="DS57" s="22"/>
      <c r="DT57" s="22"/>
      <c r="DU57" s="22"/>
      <c r="DV57" s="22"/>
      <c r="DW57" s="22"/>
      <c r="DX57" s="22"/>
      <c r="DY57" s="22"/>
      <c r="DZ57" s="22"/>
      <c r="EA57" s="22"/>
      <c r="EB57" s="125">
        <v>0.55208333333333337</v>
      </c>
      <c r="EC57" s="241">
        <f>IF('Temperature Profiles'!AA56&gt;17,(0.0043*('Temperature Profiles'!AA56^2)-0.1116*'Temperature Profiles'!AA56+0.6576)*1000,IF('Temperature Profiles'!AA56&lt;17,(0.0053*('Temperature Profiles'!AA56^2)-0.1876*'Temperature Profiles'!AA56+1.7649)*1000,0))</f>
        <v>529.18124999999998</v>
      </c>
      <c r="ED57" s="22"/>
      <c r="EE57" s="22"/>
      <c r="EF57" s="22"/>
      <c r="EG57" s="22"/>
      <c r="EH57" s="22"/>
      <c r="EI57" s="125">
        <v>0.55208333333333337</v>
      </c>
      <c r="EJ57" s="243">
        <f>IF('Temperature Profiles'!AF56&gt;17,(0.0043*('Temperature Profiles'!AF56^2)-0.1116*'Temperature Profiles'!AF56+0.6576)*1000,IF('Temperature Profiles'!AF56&lt;17,(0.0053*('Temperature Profiles'!AF56^2)-0.1876*'Temperature Profiles'!AF56+1.7649)*1000,0))</f>
        <v>1920.850187500002</v>
      </c>
      <c r="EK57" s="22"/>
      <c r="EL57" s="22"/>
      <c r="EM57" s="22"/>
      <c r="EN57" s="22"/>
      <c r="EO57" s="22"/>
      <c r="EP57" s="22"/>
      <c r="EQ57" s="22"/>
      <c r="ER57" s="209"/>
    </row>
    <row r="58" spans="1:148" x14ac:dyDescent="0.3">
      <c r="A58" s="123">
        <v>0.55208333333333337</v>
      </c>
      <c r="B58" s="259">
        <f t="shared" si="0"/>
        <v>0</v>
      </c>
      <c r="C58" s="22">
        <f t="shared" si="1"/>
        <v>0</v>
      </c>
      <c r="D58" s="21">
        <f t="shared" si="2"/>
        <v>0</v>
      </c>
      <c r="F58" s="219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125">
        <v>0.5625</v>
      </c>
      <c r="AK58" s="233">
        <f>IF('Temperature Profiles'!AA57&gt;17,(0.005*('Temperature Profiles'!AA57^2) - 0.1517*'Temperature Profiles'!AA57 + 1.1701)*1000,0)</f>
        <v>0</v>
      </c>
      <c r="AL58" s="22"/>
      <c r="AM58" s="22"/>
      <c r="AN58" s="22"/>
      <c r="AO58" s="22"/>
      <c r="AP58" s="22"/>
      <c r="AQ58" s="125">
        <v>0.5625</v>
      </c>
      <c r="AR58" s="211">
        <f>IF('Temperature Profiles'!AF57&gt;17,(0.005*('Temperature Profiles'!AF57^2) - 0.1517*'Temperature Profiles'!AF57 + 1.1702)*1000,0)</f>
        <v>1882.9706250000017</v>
      </c>
      <c r="AS58" s="22"/>
      <c r="AT58" s="22"/>
      <c r="AU58" s="22"/>
      <c r="AV58" s="22"/>
      <c r="AW58" s="22"/>
      <c r="AX58" s="22"/>
      <c r="AY58" s="22"/>
      <c r="AZ58" s="209"/>
      <c r="BB58" s="219"/>
      <c r="BC58" s="22"/>
      <c r="BD58" s="22"/>
      <c r="BE58" s="22"/>
      <c r="BF58" s="22"/>
      <c r="BG58" s="22"/>
      <c r="BH58" s="22"/>
      <c r="BI58" s="22"/>
      <c r="BJ58" s="22"/>
      <c r="BK58" s="22"/>
      <c r="BL58" s="22"/>
      <c r="BM58" s="22"/>
      <c r="BN58" s="22"/>
      <c r="BO58" s="22"/>
      <c r="BP58" s="22"/>
      <c r="BQ58" s="22"/>
      <c r="BR58" s="22"/>
      <c r="BS58" s="22"/>
      <c r="BT58" s="22"/>
      <c r="BU58" s="22"/>
      <c r="BV58" s="22"/>
      <c r="BW58" s="22"/>
      <c r="BX58" s="22"/>
      <c r="BY58" s="22"/>
      <c r="BZ58" s="22"/>
      <c r="CA58" s="22"/>
      <c r="CB58" s="22"/>
      <c r="CC58" s="22"/>
      <c r="CD58" s="22"/>
      <c r="CE58" s="22"/>
      <c r="CF58" s="125">
        <v>0.5625</v>
      </c>
      <c r="CG58" s="206">
        <f>IF('Temperature Profiles'!AA57&lt;17,(-0.0076*'Temperature Profiles'!AA57+0.1245)*1000,0)</f>
        <v>57.999999999999993</v>
      </c>
      <c r="CH58" s="22"/>
      <c r="CI58" s="22"/>
      <c r="CJ58" s="22"/>
      <c r="CK58" s="22"/>
      <c r="CL58" s="22"/>
      <c r="CM58" s="125">
        <v>0.5625</v>
      </c>
      <c r="CN58" s="206">
        <f>IF('Temperature Profiles'!AF57&lt;17,(-0.0076*'Temperature Profiles'!AF57+0.1245)*1000,0)</f>
        <v>0</v>
      </c>
      <c r="CO58" s="22"/>
      <c r="CP58" s="22"/>
      <c r="CQ58" s="22"/>
      <c r="CR58" s="22"/>
      <c r="CS58" s="22"/>
      <c r="CT58" s="22"/>
      <c r="CU58" s="22"/>
      <c r="CV58" s="209"/>
      <c r="CX58" s="219"/>
      <c r="CY58" s="22"/>
      <c r="CZ58" s="22"/>
      <c r="DA58" s="22"/>
      <c r="DB58" s="22"/>
      <c r="DC58" s="22"/>
      <c r="DD58" s="22"/>
      <c r="DE58" s="22"/>
      <c r="DF58" s="22"/>
      <c r="DG58" s="22"/>
      <c r="DH58" s="22"/>
      <c r="DI58" s="22"/>
      <c r="DJ58" s="22"/>
      <c r="DK58" s="22"/>
      <c r="DL58" s="22"/>
      <c r="DM58" s="22"/>
      <c r="DN58" s="22"/>
      <c r="DO58" s="22"/>
      <c r="DP58" s="22"/>
      <c r="DQ58" s="22"/>
      <c r="DR58" s="22"/>
      <c r="DS58" s="22"/>
      <c r="DT58" s="22"/>
      <c r="DU58" s="22"/>
      <c r="DV58" s="22"/>
      <c r="DW58" s="22"/>
      <c r="DX58" s="22"/>
      <c r="DY58" s="22"/>
      <c r="DZ58" s="22"/>
      <c r="EA58" s="22"/>
      <c r="EB58" s="125">
        <v>0.5625</v>
      </c>
      <c r="EC58" s="241">
        <f>IF('Temperature Profiles'!AA57&gt;17,(0.0043*('Temperature Profiles'!AA57^2)-0.1116*'Temperature Profiles'!AA57+0.6576)*1000,IF('Temperature Profiles'!AA57&lt;17,(0.0053*('Temperature Profiles'!AA57^2)-0.1876*'Temperature Profiles'!AA57+1.7649)*1000,0))</f>
        <v>529.18124999999998</v>
      </c>
      <c r="ED58" s="22"/>
      <c r="EE58" s="22"/>
      <c r="EF58" s="22"/>
      <c r="EG58" s="22"/>
      <c r="EH58" s="22"/>
      <c r="EI58" s="125">
        <v>0.5625</v>
      </c>
      <c r="EJ58" s="243">
        <f>IF('Temperature Profiles'!AF57&gt;17,(0.0043*('Temperature Profiles'!AF57^2)-0.1116*'Temperature Profiles'!AF57+0.6576)*1000,IF('Temperature Profiles'!AF57&lt;17,(0.0053*('Temperature Profiles'!AF57^2)-0.1876*'Temperature Profiles'!AF57+1.7649)*1000,0))</f>
        <v>1920.850187500002</v>
      </c>
      <c r="EK58" s="22"/>
      <c r="EL58" s="22"/>
      <c r="EM58" s="22"/>
      <c r="EN58" s="22"/>
      <c r="EO58" s="22"/>
      <c r="EP58" s="22"/>
      <c r="EQ58" s="22"/>
      <c r="ER58" s="209"/>
    </row>
    <row r="59" spans="1:148" x14ac:dyDescent="0.3">
      <c r="A59" s="123">
        <v>0.5625</v>
      </c>
      <c r="B59" s="259">
        <f t="shared" si="0"/>
        <v>0</v>
      </c>
      <c r="C59" s="22">
        <f t="shared" si="1"/>
        <v>0</v>
      </c>
      <c r="D59" s="21">
        <f t="shared" si="2"/>
        <v>0</v>
      </c>
      <c r="F59" s="219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125">
        <v>0.57291666666666663</v>
      </c>
      <c r="AK59" s="233">
        <f>IF('Temperature Profiles'!AA58&gt;17,(0.005*('Temperature Profiles'!AA58^2) - 0.1517*'Temperature Profiles'!AA58 + 1.1701)*1000,0)</f>
        <v>0</v>
      </c>
      <c r="AL59" s="22"/>
      <c r="AM59" s="22"/>
      <c r="AN59" s="22"/>
      <c r="AO59" s="22"/>
      <c r="AP59" s="22"/>
      <c r="AQ59" s="125">
        <v>0.57291666666666663</v>
      </c>
      <c r="AR59" s="211">
        <f>IF('Temperature Profiles'!AF58&gt;17,(0.005*('Temperature Profiles'!AF58^2) - 0.1517*'Temperature Profiles'!AF58 + 1.1702)*1000,0)</f>
        <v>1882.9706250000017</v>
      </c>
      <c r="AS59" s="22"/>
      <c r="AT59" s="22"/>
      <c r="AU59" s="22"/>
      <c r="AV59" s="22"/>
      <c r="AW59" s="22"/>
      <c r="AX59" s="22"/>
      <c r="AY59" s="22"/>
      <c r="AZ59" s="209"/>
      <c r="BB59" s="219"/>
      <c r="BC59" s="22"/>
      <c r="BD59" s="22"/>
      <c r="BE59" s="22"/>
      <c r="BF59" s="22"/>
      <c r="BG59" s="22"/>
      <c r="BH59" s="22"/>
      <c r="BI59" s="22"/>
      <c r="BJ59" s="22"/>
      <c r="BK59" s="22"/>
      <c r="BL59" s="22"/>
      <c r="BM59" s="22"/>
      <c r="BN59" s="22"/>
      <c r="BO59" s="22"/>
      <c r="BP59" s="22"/>
      <c r="BQ59" s="22"/>
      <c r="BR59" s="22"/>
      <c r="BS59" s="22"/>
      <c r="BT59" s="22"/>
      <c r="BU59" s="22"/>
      <c r="BV59" s="22"/>
      <c r="BW59" s="22"/>
      <c r="BX59" s="22"/>
      <c r="BY59" s="22"/>
      <c r="BZ59" s="22"/>
      <c r="CA59" s="22"/>
      <c r="CB59" s="22"/>
      <c r="CC59" s="22"/>
      <c r="CD59" s="22"/>
      <c r="CE59" s="22"/>
      <c r="CF59" s="125">
        <v>0.57291666666666663</v>
      </c>
      <c r="CG59" s="206">
        <f>IF('Temperature Profiles'!AA58&lt;17,(-0.0076*'Temperature Profiles'!AA58+0.1245)*1000,0)</f>
        <v>57.999999999999993</v>
      </c>
      <c r="CH59" s="22"/>
      <c r="CI59" s="22"/>
      <c r="CJ59" s="22"/>
      <c r="CK59" s="22"/>
      <c r="CL59" s="22"/>
      <c r="CM59" s="125">
        <v>0.57291666666666663</v>
      </c>
      <c r="CN59" s="206">
        <f>IF('Temperature Profiles'!AF58&lt;17,(-0.0076*'Temperature Profiles'!AF58+0.1245)*1000,0)</f>
        <v>0</v>
      </c>
      <c r="CO59" s="22"/>
      <c r="CP59" s="22"/>
      <c r="CQ59" s="22"/>
      <c r="CR59" s="22"/>
      <c r="CS59" s="22"/>
      <c r="CT59" s="22"/>
      <c r="CU59" s="22"/>
      <c r="CV59" s="209"/>
      <c r="CX59" s="219"/>
      <c r="CY59" s="22"/>
      <c r="CZ59" s="22"/>
      <c r="DA59" s="22"/>
      <c r="DB59" s="22"/>
      <c r="DC59" s="22"/>
      <c r="DD59" s="22"/>
      <c r="DE59" s="22"/>
      <c r="DF59" s="22"/>
      <c r="DG59" s="22"/>
      <c r="DH59" s="22"/>
      <c r="DI59" s="22"/>
      <c r="DJ59" s="22"/>
      <c r="DK59" s="22"/>
      <c r="DL59" s="22"/>
      <c r="DM59" s="22"/>
      <c r="DN59" s="22"/>
      <c r="DO59" s="22"/>
      <c r="DP59" s="22"/>
      <c r="DQ59" s="22"/>
      <c r="DR59" s="22"/>
      <c r="DS59" s="22"/>
      <c r="DT59" s="22"/>
      <c r="DU59" s="22"/>
      <c r="DV59" s="22"/>
      <c r="DW59" s="22"/>
      <c r="DX59" s="22"/>
      <c r="DY59" s="22"/>
      <c r="DZ59" s="22"/>
      <c r="EA59" s="22"/>
      <c r="EB59" s="125">
        <v>0.57291666666666663</v>
      </c>
      <c r="EC59" s="241">
        <f>IF('Temperature Profiles'!AA58&gt;17,(0.0043*('Temperature Profiles'!AA58^2)-0.1116*'Temperature Profiles'!AA58+0.6576)*1000,IF('Temperature Profiles'!AA58&lt;17,(0.0053*('Temperature Profiles'!AA58^2)-0.1876*'Temperature Profiles'!AA58+1.7649)*1000,0))</f>
        <v>529.18124999999998</v>
      </c>
      <c r="ED59" s="22"/>
      <c r="EE59" s="22"/>
      <c r="EF59" s="22"/>
      <c r="EG59" s="22"/>
      <c r="EH59" s="22"/>
      <c r="EI59" s="125">
        <v>0.57291666666666663</v>
      </c>
      <c r="EJ59" s="243">
        <f>IF('Temperature Profiles'!AF58&gt;17,(0.0043*('Temperature Profiles'!AF58^2)-0.1116*'Temperature Profiles'!AF58+0.6576)*1000,IF('Temperature Profiles'!AF58&lt;17,(0.0053*('Temperature Profiles'!AF58^2)-0.1876*'Temperature Profiles'!AF58+1.7649)*1000,0))</f>
        <v>1920.850187500002</v>
      </c>
      <c r="EK59" s="22"/>
      <c r="EL59" s="22"/>
      <c r="EM59" s="22"/>
      <c r="EN59" s="22"/>
      <c r="EO59" s="22"/>
      <c r="EP59" s="22"/>
      <c r="EQ59" s="22"/>
      <c r="ER59" s="209"/>
    </row>
    <row r="60" spans="1:148" x14ac:dyDescent="0.3">
      <c r="A60" s="123">
        <v>0.57291666666666663</v>
      </c>
      <c r="B60" s="259">
        <f t="shared" si="0"/>
        <v>0</v>
      </c>
      <c r="C60" s="22">
        <f t="shared" si="1"/>
        <v>0</v>
      </c>
      <c r="D60" s="21">
        <f t="shared" si="2"/>
        <v>0</v>
      </c>
      <c r="F60" s="219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125">
        <v>0.58333333333333337</v>
      </c>
      <c r="AK60" s="233">
        <f>IF('Temperature Profiles'!AA59&gt;17,(0.005*('Temperature Profiles'!AA59^2) - 0.1517*'Temperature Profiles'!AA59 + 1.1701)*1000,0)</f>
        <v>0</v>
      </c>
      <c r="AL60" s="22"/>
      <c r="AM60" s="22"/>
      <c r="AN60" s="22"/>
      <c r="AO60" s="22"/>
      <c r="AP60" s="22"/>
      <c r="AQ60" s="125">
        <v>0.58333333333333337</v>
      </c>
      <c r="AR60" s="211">
        <f>IF('Temperature Profiles'!AF59&gt;17,(0.005*('Temperature Profiles'!AF59^2) - 0.1517*'Temperature Profiles'!AF59 + 1.1702)*1000,0)</f>
        <v>1882.9706250000017</v>
      </c>
      <c r="AS60" s="22"/>
      <c r="AT60" s="22"/>
      <c r="AU60" s="22"/>
      <c r="AV60" s="22"/>
      <c r="AW60" s="22"/>
      <c r="AX60" s="22"/>
      <c r="AY60" s="22"/>
      <c r="AZ60" s="209"/>
      <c r="BB60" s="219"/>
      <c r="BC60" s="22"/>
      <c r="BD60" s="22"/>
      <c r="BE60" s="22"/>
      <c r="BF60" s="22"/>
      <c r="BG60" s="22"/>
      <c r="BH60" s="22"/>
      <c r="BI60" s="22"/>
      <c r="BJ60" s="22"/>
      <c r="BK60" s="22"/>
      <c r="BL60" s="22"/>
      <c r="BM60" s="22"/>
      <c r="BN60" s="22"/>
      <c r="BO60" s="22"/>
      <c r="BP60" s="22"/>
      <c r="BQ60" s="22"/>
      <c r="BR60" s="22"/>
      <c r="BS60" s="22"/>
      <c r="BT60" s="22"/>
      <c r="BU60" s="22"/>
      <c r="BV60" s="22"/>
      <c r="BW60" s="22"/>
      <c r="BX60" s="22"/>
      <c r="BY60" s="22"/>
      <c r="BZ60" s="22"/>
      <c r="CA60" s="22"/>
      <c r="CB60" s="22"/>
      <c r="CC60" s="22"/>
      <c r="CD60" s="22"/>
      <c r="CE60" s="22"/>
      <c r="CF60" s="125">
        <v>0.58333333333333337</v>
      </c>
      <c r="CG60" s="206">
        <f>IF('Temperature Profiles'!AA59&lt;17,(-0.0076*'Temperature Profiles'!AA59+0.1245)*1000,0)</f>
        <v>57.999999999999993</v>
      </c>
      <c r="CH60" s="22"/>
      <c r="CI60" s="22"/>
      <c r="CJ60" s="22"/>
      <c r="CK60" s="22"/>
      <c r="CL60" s="22"/>
      <c r="CM60" s="125">
        <v>0.58333333333333337</v>
      </c>
      <c r="CN60" s="206">
        <f>IF('Temperature Profiles'!AF59&lt;17,(-0.0076*'Temperature Profiles'!AF59+0.1245)*1000,0)</f>
        <v>0</v>
      </c>
      <c r="CO60" s="22"/>
      <c r="CP60" s="22"/>
      <c r="CQ60" s="22"/>
      <c r="CR60" s="22"/>
      <c r="CS60" s="22"/>
      <c r="CT60" s="22"/>
      <c r="CU60" s="22"/>
      <c r="CV60" s="209"/>
      <c r="CX60" s="219"/>
      <c r="CY60" s="22"/>
      <c r="CZ60" s="22"/>
      <c r="DA60" s="22"/>
      <c r="DB60" s="22"/>
      <c r="DC60" s="22"/>
      <c r="DD60" s="22"/>
      <c r="DE60" s="22"/>
      <c r="DF60" s="22"/>
      <c r="DG60" s="22"/>
      <c r="DH60" s="22"/>
      <c r="DI60" s="22"/>
      <c r="DJ60" s="22"/>
      <c r="DK60" s="22"/>
      <c r="DL60" s="22"/>
      <c r="DM60" s="22"/>
      <c r="DN60" s="22"/>
      <c r="DO60" s="22"/>
      <c r="DP60" s="22"/>
      <c r="DQ60" s="22"/>
      <c r="DR60" s="22"/>
      <c r="DS60" s="22"/>
      <c r="DT60" s="22"/>
      <c r="DU60" s="22"/>
      <c r="DV60" s="22"/>
      <c r="DW60" s="22"/>
      <c r="DX60" s="22"/>
      <c r="DY60" s="22"/>
      <c r="DZ60" s="22"/>
      <c r="EA60" s="22"/>
      <c r="EB60" s="125">
        <v>0.58333333333333337</v>
      </c>
      <c r="EC60" s="241">
        <f>IF('Temperature Profiles'!AA59&gt;17,(0.0043*('Temperature Profiles'!AA59^2)-0.1116*'Temperature Profiles'!AA59+0.6576)*1000,IF('Temperature Profiles'!AA59&lt;17,(0.0053*('Temperature Profiles'!AA59^2)-0.1876*'Temperature Profiles'!AA59+1.7649)*1000,0))</f>
        <v>529.18124999999998</v>
      </c>
      <c r="ED60" s="22"/>
      <c r="EE60" s="22"/>
      <c r="EF60" s="22"/>
      <c r="EG60" s="22"/>
      <c r="EH60" s="22"/>
      <c r="EI60" s="125">
        <v>0.58333333333333337</v>
      </c>
      <c r="EJ60" s="243">
        <f>IF('Temperature Profiles'!AF59&gt;17,(0.0043*('Temperature Profiles'!AF59^2)-0.1116*'Temperature Profiles'!AF59+0.6576)*1000,IF('Temperature Profiles'!AF59&lt;17,(0.0053*('Temperature Profiles'!AF59^2)-0.1876*'Temperature Profiles'!AF59+1.7649)*1000,0))</f>
        <v>1920.850187500002</v>
      </c>
      <c r="EK60" s="22"/>
      <c r="EL60" s="22"/>
      <c r="EM60" s="22"/>
      <c r="EN60" s="22"/>
      <c r="EO60" s="22"/>
      <c r="EP60" s="22"/>
      <c r="EQ60" s="22"/>
      <c r="ER60" s="209"/>
    </row>
    <row r="61" spans="1:148" x14ac:dyDescent="0.3">
      <c r="A61" s="123">
        <v>0.58333333333333337</v>
      </c>
      <c r="B61" s="259">
        <f t="shared" si="0"/>
        <v>0</v>
      </c>
      <c r="C61" s="22">
        <f t="shared" si="1"/>
        <v>0</v>
      </c>
      <c r="D61" s="21">
        <f t="shared" si="2"/>
        <v>0</v>
      </c>
      <c r="F61" s="219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125">
        <v>0.59375</v>
      </c>
      <c r="AK61" s="233">
        <f>IF('Temperature Profiles'!AA60&gt;17,(0.005*('Temperature Profiles'!AA60^2) - 0.1517*'Temperature Profiles'!AA60 + 1.1701)*1000,0)</f>
        <v>0</v>
      </c>
      <c r="AL61" s="22"/>
      <c r="AM61" s="22"/>
      <c r="AN61" s="22"/>
      <c r="AO61" s="22"/>
      <c r="AP61" s="22"/>
      <c r="AQ61" s="125">
        <v>0.59375</v>
      </c>
      <c r="AR61" s="211">
        <f>IF('Temperature Profiles'!AF60&gt;17,(0.005*('Temperature Profiles'!AF60^2) - 0.1517*'Temperature Profiles'!AF60 + 1.1702)*1000,0)</f>
        <v>1992.3155555555572</v>
      </c>
      <c r="AS61" s="22"/>
      <c r="AT61" s="22"/>
      <c r="AU61" s="22"/>
      <c r="AV61" s="22"/>
      <c r="AW61" s="22"/>
      <c r="AX61" s="22"/>
      <c r="AY61" s="22"/>
      <c r="AZ61" s="209"/>
      <c r="BB61" s="219"/>
      <c r="BC61" s="22"/>
      <c r="BD61" s="22"/>
      <c r="BE61" s="22"/>
      <c r="BF61" s="22"/>
      <c r="BG61" s="22"/>
      <c r="BH61" s="22"/>
      <c r="BI61" s="22"/>
      <c r="BJ61" s="22"/>
      <c r="BK61" s="22"/>
      <c r="BL61" s="22"/>
      <c r="BM61" s="22"/>
      <c r="BN61" s="22"/>
      <c r="BO61" s="22"/>
      <c r="BP61" s="22"/>
      <c r="BQ61" s="22"/>
      <c r="BR61" s="22"/>
      <c r="BS61" s="22"/>
      <c r="BT61" s="22"/>
      <c r="BU61" s="22"/>
      <c r="BV61" s="22"/>
      <c r="BW61" s="22"/>
      <c r="BX61" s="22"/>
      <c r="BY61" s="22"/>
      <c r="BZ61" s="22"/>
      <c r="CA61" s="22"/>
      <c r="CB61" s="22"/>
      <c r="CC61" s="22"/>
      <c r="CD61" s="22"/>
      <c r="CE61" s="22"/>
      <c r="CF61" s="125">
        <v>0.59375</v>
      </c>
      <c r="CG61" s="206">
        <f>IF('Temperature Profiles'!AA60&lt;17,(-0.0076*'Temperature Profiles'!AA60+0.1245)*1000,0)</f>
        <v>54.326666666666675</v>
      </c>
      <c r="CH61" s="22"/>
      <c r="CI61" s="22"/>
      <c r="CJ61" s="22"/>
      <c r="CK61" s="22"/>
      <c r="CL61" s="22"/>
      <c r="CM61" s="125">
        <v>0.59375</v>
      </c>
      <c r="CN61" s="206">
        <f>IF('Temperature Profiles'!AF60&lt;17,(-0.0076*'Temperature Profiles'!AF60+0.1245)*1000,0)</f>
        <v>0</v>
      </c>
      <c r="CO61" s="22"/>
      <c r="CP61" s="22"/>
      <c r="CQ61" s="22"/>
      <c r="CR61" s="22"/>
      <c r="CS61" s="22"/>
      <c r="CT61" s="22"/>
      <c r="CU61" s="22"/>
      <c r="CV61" s="209"/>
      <c r="CX61" s="219"/>
      <c r="CY61" s="22"/>
      <c r="CZ61" s="22"/>
      <c r="DA61" s="22"/>
      <c r="DB61" s="22"/>
      <c r="DC61" s="22"/>
      <c r="DD61" s="22"/>
      <c r="DE61" s="22"/>
      <c r="DF61" s="22"/>
      <c r="DG61" s="22"/>
      <c r="DH61" s="22"/>
      <c r="DI61" s="22"/>
      <c r="DJ61" s="22"/>
      <c r="DK61" s="22"/>
      <c r="DL61" s="22"/>
      <c r="DM61" s="22"/>
      <c r="DN61" s="22"/>
      <c r="DO61" s="22"/>
      <c r="DP61" s="22"/>
      <c r="DQ61" s="22"/>
      <c r="DR61" s="22"/>
      <c r="DS61" s="22"/>
      <c r="DT61" s="22"/>
      <c r="DU61" s="22"/>
      <c r="DV61" s="22"/>
      <c r="DW61" s="22"/>
      <c r="DX61" s="22"/>
      <c r="DY61" s="22"/>
      <c r="DZ61" s="22"/>
      <c r="EA61" s="22"/>
      <c r="EB61" s="125">
        <v>0.59375</v>
      </c>
      <c r="EC61" s="241">
        <f>IF('Temperature Profiles'!AA60&gt;17,(0.0043*('Temperature Profiles'!AA60^2)-0.1116*'Temperature Profiles'!AA60+0.6576)*1000,IF('Temperature Profiles'!AA60&lt;17,(0.0053*('Temperature Profiles'!AA60^2)-0.1876*'Temperature Profiles'!AA60+1.7649)*1000,0))</f>
        <v>484.57522222222235</v>
      </c>
      <c r="ED61" s="22"/>
      <c r="EE61" s="22"/>
      <c r="EF61" s="22"/>
      <c r="EG61" s="22"/>
      <c r="EH61" s="22"/>
      <c r="EI61" s="125">
        <v>0.59375</v>
      </c>
      <c r="EJ61" s="243">
        <f>IF('Temperature Profiles'!AF60&gt;17,(0.0043*('Temperature Profiles'!AF60^2)-0.1116*'Temperature Profiles'!AF60+0.6576)*1000,IF('Temperature Profiles'!AF60&lt;17,(0.0053*('Temperature Profiles'!AF60^2)-0.1876*'Temperature Profiles'!AF60+1.7649)*1000,0))</f>
        <v>2025.4181111111125</v>
      </c>
      <c r="EK61" s="22"/>
      <c r="EL61" s="22"/>
      <c r="EM61" s="22"/>
      <c r="EN61" s="22"/>
      <c r="EO61" s="22"/>
      <c r="EP61" s="22"/>
      <c r="EQ61" s="22"/>
      <c r="ER61" s="209"/>
    </row>
    <row r="62" spans="1:148" x14ac:dyDescent="0.3">
      <c r="A62" s="123">
        <v>0.59375</v>
      </c>
      <c r="B62" s="259">
        <f t="shared" si="0"/>
        <v>0</v>
      </c>
      <c r="C62" s="22">
        <f t="shared" si="1"/>
        <v>0</v>
      </c>
      <c r="D62" s="21">
        <f t="shared" si="2"/>
        <v>0</v>
      </c>
      <c r="F62" s="219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125">
        <v>0.60416666666666663</v>
      </c>
      <c r="AK62" s="233">
        <f>IF('Temperature Profiles'!AA61&gt;17,(0.005*('Temperature Profiles'!AA61^2) - 0.1517*'Temperature Profiles'!AA61 + 1.1701)*1000,0)</f>
        <v>0</v>
      </c>
      <c r="AL62" s="22"/>
      <c r="AM62" s="22"/>
      <c r="AN62" s="22"/>
      <c r="AO62" s="22"/>
      <c r="AP62" s="22"/>
      <c r="AQ62" s="125">
        <v>0.60416666666666663</v>
      </c>
      <c r="AR62" s="211">
        <f>IF('Temperature Profiles'!AF61&gt;17,(0.005*('Temperature Profiles'!AF61^2) - 0.1517*'Temperature Profiles'!AF61 + 1.1702)*1000,0)</f>
        <v>1992.3155555555572</v>
      </c>
      <c r="AS62" s="22"/>
      <c r="AT62" s="22"/>
      <c r="AU62" s="22"/>
      <c r="AV62" s="22"/>
      <c r="AW62" s="22"/>
      <c r="AX62" s="22"/>
      <c r="AY62" s="22"/>
      <c r="AZ62" s="209"/>
      <c r="BB62" s="219"/>
      <c r="BC62" s="22"/>
      <c r="BD62" s="22"/>
      <c r="BE62" s="22"/>
      <c r="BF62" s="22"/>
      <c r="BG62" s="22"/>
      <c r="BH62" s="22"/>
      <c r="BI62" s="22"/>
      <c r="BJ62" s="22"/>
      <c r="BK62" s="22"/>
      <c r="BL62" s="22"/>
      <c r="BM62" s="22"/>
      <c r="BN62" s="22"/>
      <c r="BO62" s="22"/>
      <c r="BP62" s="22"/>
      <c r="BQ62" s="22"/>
      <c r="BR62" s="22"/>
      <c r="BS62" s="22"/>
      <c r="BT62" s="22"/>
      <c r="BU62" s="22"/>
      <c r="BV62" s="22"/>
      <c r="BW62" s="22"/>
      <c r="BX62" s="22"/>
      <c r="BY62" s="22"/>
      <c r="BZ62" s="22"/>
      <c r="CA62" s="22"/>
      <c r="CB62" s="22"/>
      <c r="CC62" s="22"/>
      <c r="CD62" s="22"/>
      <c r="CE62" s="22"/>
      <c r="CF62" s="125">
        <v>0.60416666666666663</v>
      </c>
      <c r="CG62" s="206">
        <f>IF('Temperature Profiles'!AA61&lt;17,(-0.0076*'Temperature Profiles'!AA61+0.1245)*1000,0)</f>
        <v>54.326666666666675</v>
      </c>
      <c r="CH62" s="22"/>
      <c r="CI62" s="22"/>
      <c r="CJ62" s="22"/>
      <c r="CK62" s="22"/>
      <c r="CL62" s="22"/>
      <c r="CM62" s="125">
        <v>0.60416666666666663</v>
      </c>
      <c r="CN62" s="206">
        <f>IF('Temperature Profiles'!AF61&lt;17,(-0.0076*'Temperature Profiles'!AF61+0.1245)*1000,0)</f>
        <v>0</v>
      </c>
      <c r="CO62" s="22"/>
      <c r="CP62" s="22"/>
      <c r="CQ62" s="22"/>
      <c r="CR62" s="22"/>
      <c r="CS62" s="22"/>
      <c r="CT62" s="22"/>
      <c r="CU62" s="22"/>
      <c r="CV62" s="209"/>
      <c r="CX62" s="219"/>
      <c r="CY62" s="22"/>
      <c r="CZ62" s="22"/>
      <c r="DA62" s="22"/>
      <c r="DB62" s="22"/>
      <c r="DC62" s="22"/>
      <c r="DD62" s="22"/>
      <c r="DE62" s="22"/>
      <c r="DF62" s="22"/>
      <c r="DG62" s="22"/>
      <c r="DH62" s="22"/>
      <c r="DI62" s="22"/>
      <c r="DJ62" s="22"/>
      <c r="DK62" s="22"/>
      <c r="DL62" s="22"/>
      <c r="DM62" s="22"/>
      <c r="DN62" s="22"/>
      <c r="DO62" s="22"/>
      <c r="DP62" s="22"/>
      <c r="DQ62" s="22"/>
      <c r="DR62" s="22"/>
      <c r="DS62" s="22"/>
      <c r="DT62" s="22"/>
      <c r="DU62" s="22"/>
      <c r="DV62" s="22"/>
      <c r="DW62" s="22"/>
      <c r="DX62" s="22"/>
      <c r="DY62" s="22"/>
      <c r="DZ62" s="22"/>
      <c r="EA62" s="22"/>
      <c r="EB62" s="125">
        <v>0.60416666666666663</v>
      </c>
      <c r="EC62" s="241">
        <f>IF('Temperature Profiles'!AA61&gt;17,(0.0043*('Temperature Profiles'!AA61^2)-0.1116*'Temperature Profiles'!AA61+0.6576)*1000,IF('Temperature Profiles'!AA61&lt;17,(0.0053*('Temperature Profiles'!AA61^2)-0.1876*'Temperature Profiles'!AA61+1.7649)*1000,0))</f>
        <v>484.57522222222235</v>
      </c>
      <c r="ED62" s="22"/>
      <c r="EE62" s="22"/>
      <c r="EF62" s="22"/>
      <c r="EG62" s="22"/>
      <c r="EH62" s="22"/>
      <c r="EI62" s="125">
        <v>0.60416666666666663</v>
      </c>
      <c r="EJ62" s="243">
        <f>IF('Temperature Profiles'!AF61&gt;17,(0.0043*('Temperature Profiles'!AF61^2)-0.1116*'Temperature Profiles'!AF61+0.6576)*1000,IF('Temperature Profiles'!AF61&lt;17,(0.0053*('Temperature Profiles'!AF61^2)-0.1876*'Temperature Profiles'!AF61+1.7649)*1000,0))</f>
        <v>2025.4181111111125</v>
      </c>
      <c r="EK62" s="22"/>
      <c r="EL62" s="22"/>
      <c r="EM62" s="22"/>
      <c r="EN62" s="22"/>
      <c r="EO62" s="22"/>
      <c r="EP62" s="22"/>
      <c r="EQ62" s="22"/>
      <c r="ER62" s="209"/>
    </row>
    <row r="63" spans="1:148" x14ac:dyDescent="0.3">
      <c r="A63" s="123">
        <v>0.60416666666666663</v>
      </c>
      <c r="B63" s="259">
        <f t="shared" si="0"/>
        <v>0</v>
      </c>
      <c r="C63" s="22">
        <f t="shared" si="1"/>
        <v>0</v>
      </c>
      <c r="D63" s="21">
        <f t="shared" si="2"/>
        <v>0</v>
      </c>
      <c r="F63" s="219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125">
        <v>0.61458333333333337</v>
      </c>
      <c r="AK63" s="233">
        <f>IF('Temperature Profiles'!AA62&gt;17,(0.005*('Temperature Profiles'!AA62^2) - 0.1517*'Temperature Profiles'!AA62 + 1.1701)*1000,0)</f>
        <v>0</v>
      </c>
      <c r="AL63" s="22"/>
      <c r="AM63" s="22"/>
      <c r="AN63" s="22"/>
      <c r="AO63" s="22"/>
      <c r="AP63" s="22"/>
      <c r="AQ63" s="125">
        <v>0.61458333333333337</v>
      </c>
      <c r="AR63" s="211">
        <f>IF('Temperature Profiles'!AF62&gt;17,(0.005*('Temperature Profiles'!AF62^2) - 0.1517*'Temperature Profiles'!AF62 + 1.1702)*1000,0)</f>
        <v>1992.3155555555572</v>
      </c>
      <c r="AS63" s="22"/>
      <c r="AT63" s="22"/>
      <c r="AU63" s="22"/>
      <c r="AV63" s="22"/>
      <c r="AW63" s="22"/>
      <c r="AX63" s="22"/>
      <c r="AY63" s="22"/>
      <c r="AZ63" s="209"/>
      <c r="BB63" s="219"/>
      <c r="BC63" s="22"/>
      <c r="BD63" s="22"/>
      <c r="BE63" s="22"/>
      <c r="BF63" s="22"/>
      <c r="BG63" s="22"/>
      <c r="BH63" s="22"/>
      <c r="BI63" s="22"/>
      <c r="BJ63" s="22"/>
      <c r="BK63" s="22"/>
      <c r="BL63" s="22"/>
      <c r="BM63" s="22"/>
      <c r="BN63" s="22"/>
      <c r="BO63" s="22"/>
      <c r="BP63" s="22"/>
      <c r="BQ63" s="22"/>
      <c r="BR63" s="22"/>
      <c r="BS63" s="22"/>
      <c r="BT63" s="22"/>
      <c r="BU63" s="22"/>
      <c r="BV63" s="22"/>
      <c r="BW63" s="22"/>
      <c r="BX63" s="22"/>
      <c r="BY63" s="22"/>
      <c r="BZ63" s="22"/>
      <c r="CA63" s="22"/>
      <c r="CB63" s="22"/>
      <c r="CC63" s="22"/>
      <c r="CD63" s="22"/>
      <c r="CE63" s="22"/>
      <c r="CF63" s="125">
        <v>0.61458333333333337</v>
      </c>
      <c r="CG63" s="206">
        <f>IF('Temperature Profiles'!AA62&lt;17,(-0.0076*'Temperature Profiles'!AA62+0.1245)*1000,0)</f>
        <v>54.326666666666675</v>
      </c>
      <c r="CH63" s="22"/>
      <c r="CI63" s="22"/>
      <c r="CJ63" s="22"/>
      <c r="CK63" s="22"/>
      <c r="CL63" s="22"/>
      <c r="CM63" s="125">
        <v>0.61458333333333337</v>
      </c>
      <c r="CN63" s="206">
        <f>IF('Temperature Profiles'!AF62&lt;17,(-0.0076*'Temperature Profiles'!AF62+0.1245)*1000,0)</f>
        <v>0</v>
      </c>
      <c r="CO63" s="22"/>
      <c r="CP63" s="22"/>
      <c r="CQ63" s="22"/>
      <c r="CR63" s="22"/>
      <c r="CS63" s="22"/>
      <c r="CT63" s="22"/>
      <c r="CU63" s="22"/>
      <c r="CV63" s="209"/>
      <c r="CX63" s="219"/>
      <c r="CY63" s="22"/>
      <c r="CZ63" s="22"/>
      <c r="DA63" s="22"/>
      <c r="DB63" s="22"/>
      <c r="DC63" s="22"/>
      <c r="DD63" s="22"/>
      <c r="DE63" s="22"/>
      <c r="DF63" s="22"/>
      <c r="DG63" s="22"/>
      <c r="DH63" s="22"/>
      <c r="DI63" s="22"/>
      <c r="DJ63" s="22"/>
      <c r="DK63" s="22"/>
      <c r="DL63" s="22"/>
      <c r="DM63" s="22"/>
      <c r="DN63" s="22"/>
      <c r="DO63" s="22"/>
      <c r="DP63" s="22"/>
      <c r="DQ63" s="22"/>
      <c r="DR63" s="22"/>
      <c r="DS63" s="22"/>
      <c r="DT63" s="22"/>
      <c r="DU63" s="22"/>
      <c r="DV63" s="22"/>
      <c r="DW63" s="22"/>
      <c r="DX63" s="22"/>
      <c r="DY63" s="22"/>
      <c r="DZ63" s="22"/>
      <c r="EA63" s="22"/>
      <c r="EB63" s="125">
        <v>0.61458333333333337</v>
      </c>
      <c r="EC63" s="241">
        <f>IF('Temperature Profiles'!AA62&gt;17,(0.0043*('Temperature Profiles'!AA62^2)-0.1116*'Temperature Profiles'!AA62+0.6576)*1000,IF('Temperature Profiles'!AA62&lt;17,(0.0053*('Temperature Profiles'!AA62^2)-0.1876*'Temperature Profiles'!AA62+1.7649)*1000,0))</f>
        <v>484.57522222222235</v>
      </c>
      <c r="ED63" s="22"/>
      <c r="EE63" s="22"/>
      <c r="EF63" s="22"/>
      <c r="EG63" s="22"/>
      <c r="EH63" s="22"/>
      <c r="EI63" s="125">
        <v>0.61458333333333337</v>
      </c>
      <c r="EJ63" s="243">
        <f>IF('Temperature Profiles'!AF62&gt;17,(0.0043*('Temperature Profiles'!AF62^2)-0.1116*'Temperature Profiles'!AF62+0.6576)*1000,IF('Temperature Profiles'!AF62&lt;17,(0.0053*('Temperature Profiles'!AF62^2)-0.1876*'Temperature Profiles'!AF62+1.7649)*1000,0))</f>
        <v>2025.4181111111125</v>
      </c>
      <c r="EK63" s="22"/>
      <c r="EL63" s="22"/>
      <c r="EM63" s="22"/>
      <c r="EN63" s="22"/>
      <c r="EO63" s="22"/>
      <c r="EP63" s="22"/>
      <c r="EQ63" s="22"/>
      <c r="ER63" s="209"/>
    </row>
    <row r="64" spans="1:148" x14ac:dyDescent="0.3">
      <c r="A64" s="123">
        <v>0.61458333333333337</v>
      </c>
      <c r="B64" s="259">
        <f t="shared" si="0"/>
        <v>0</v>
      </c>
      <c r="C64" s="22">
        <f t="shared" si="1"/>
        <v>0</v>
      </c>
      <c r="D64" s="21">
        <f t="shared" si="2"/>
        <v>0</v>
      </c>
      <c r="F64" s="219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125">
        <v>0.625</v>
      </c>
      <c r="AK64" s="233">
        <f>IF('Temperature Profiles'!AA63&gt;17,(0.005*('Temperature Profiles'!AA63^2) - 0.1517*'Temperature Profiles'!AA63 + 1.1701)*1000,0)</f>
        <v>0</v>
      </c>
      <c r="AL64" s="22"/>
      <c r="AM64" s="22"/>
      <c r="AN64" s="22"/>
      <c r="AO64" s="22"/>
      <c r="AP64" s="22"/>
      <c r="AQ64" s="125">
        <v>0.625</v>
      </c>
      <c r="AR64" s="211">
        <f>IF('Temperature Profiles'!AF63&gt;17,(0.005*('Temperature Profiles'!AF63^2) - 0.1517*'Temperature Profiles'!AF63 + 1.1702)*1000,0)</f>
        <v>1992.3155555555572</v>
      </c>
      <c r="AS64" s="22"/>
      <c r="AT64" s="22"/>
      <c r="AU64" s="22"/>
      <c r="AV64" s="22"/>
      <c r="AW64" s="22"/>
      <c r="AX64" s="22"/>
      <c r="AY64" s="22"/>
      <c r="AZ64" s="209"/>
      <c r="BB64" s="219"/>
      <c r="BC64" s="22"/>
      <c r="BD64" s="22"/>
      <c r="BE64" s="22"/>
      <c r="BF64" s="22"/>
      <c r="BG64" s="22"/>
      <c r="BH64" s="22"/>
      <c r="BI64" s="22"/>
      <c r="BJ64" s="22"/>
      <c r="BK64" s="22"/>
      <c r="BL64" s="22"/>
      <c r="BM64" s="22"/>
      <c r="BN64" s="22"/>
      <c r="BO64" s="22"/>
      <c r="BP64" s="22"/>
      <c r="BQ64" s="22"/>
      <c r="BR64" s="22"/>
      <c r="BS64" s="22"/>
      <c r="BT64" s="22"/>
      <c r="BU64" s="22"/>
      <c r="BV64" s="22"/>
      <c r="BW64" s="22"/>
      <c r="BX64" s="22"/>
      <c r="BY64" s="22"/>
      <c r="BZ64" s="22"/>
      <c r="CA64" s="22"/>
      <c r="CB64" s="22"/>
      <c r="CC64" s="22"/>
      <c r="CD64" s="22"/>
      <c r="CE64" s="22"/>
      <c r="CF64" s="125">
        <v>0.625</v>
      </c>
      <c r="CG64" s="206">
        <f>IF('Temperature Profiles'!AA63&lt;17,(-0.0076*'Temperature Profiles'!AA63+0.1245)*1000,0)</f>
        <v>54.326666666666675</v>
      </c>
      <c r="CH64" s="22"/>
      <c r="CI64" s="22"/>
      <c r="CJ64" s="22"/>
      <c r="CK64" s="22"/>
      <c r="CL64" s="22"/>
      <c r="CM64" s="125">
        <v>0.625</v>
      </c>
      <c r="CN64" s="206">
        <f>IF('Temperature Profiles'!AF63&lt;17,(-0.0076*'Temperature Profiles'!AF63+0.1245)*1000,0)</f>
        <v>0</v>
      </c>
      <c r="CO64" s="22"/>
      <c r="CP64" s="22"/>
      <c r="CQ64" s="22"/>
      <c r="CR64" s="22"/>
      <c r="CS64" s="22"/>
      <c r="CT64" s="22"/>
      <c r="CU64" s="22"/>
      <c r="CV64" s="209"/>
      <c r="CX64" s="219"/>
      <c r="CY64" s="22"/>
      <c r="CZ64" s="22"/>
      <c r="DA64" s="22"/>
      <c r="DB64" s="22"/>
      <c r="DC64" s="22"/>
      <c r="DD64" s="22"/>
      <c r="DE64" s="22"/>
      <c r="DF64" s="22"/>
      <c r="DG64" s="22"/>
      <c r="DH64" s="22"/>
      <c r="DI64" s="22"/>
      <c r="DJ64" s="22"/>
      <c r="DK64" s="22"/>
      <c r="DL64" s="22"/>
      <c r="DM64" s="22"/>
      <c r="DN64" s="22"/>
      <c r="DO64" s="22"/>
      <c r="DP64" s="22"/>
      <c r="DQ64" s="22"/>
      <c r="DR64" s="22"/>
      <c r="DS64" s="22"/>
      <c r="DT64" s="22"/>
      <c r="DU64" s="22"/>
      <c r="DV64" s="22"/>
      <c r="DW64" s="22"/>
      <c r="DX64" s="22"/>
      <c r="DY64" s="22"/>
      <c r="DZ64" s="22"/>
      <c r="EA64" s="22"/>
      <c r="EB64" s="125">
        <v>0.625</v>
      </c>
      <c r="EC64" s="241">
        <f>IF('Temperature Profiles'!AA63&gt;17,(0.0043*('Temperature Profiles'!AA63^2)-0.1116*'Temperature Profiles'!AA63+0.6576)*1000,IF('Temperature Profiles'!AA63&lt;17,(0.0053*('Temperature Profiles'!AA63^2)-0.1876*'Temperature Profiles'!AA63+1.7649)*1000,0))</f>
        <v>484.57522222222235</v>
      </c>
      <c r="ED64" s="22"/>
      <c r="EE64" s="22"/>
      <c r="EF64" s="22"/>
      <c r="EG64" s="22"/>
      <c r="EH64" s="22"/>
      <c r="EI64" s="125">
        <v>0.625</v>
      </c>
      <c r="EJ64" s="243">
        <f>IF('Temperature Profiles'!AF63&gt;17,(0.0043*('Temperature Profiles'!AF63^2)-0.1116*'Temperature Profiles'!AF63+0.6576)*1000,IF('Temperature Profiles'!AF63&lt;17,(0.0053*('Temperature Profiles'!AF63^2)-0.1876*'Temperature Profiles'!AF63+1.7649)*1000,0))</f>
        <v>2025.4181111111125</v>
      </c>
      <c r="EK64" s="22"/>
      <c r="EL64" s="22"/>
      <c r="EM64" s="22"/>
      <c r="EN64" s="22"/>
      <c r="EO64" s="22"/>
      <c r="EP64" s="22"/>
      <c r="EQ64" s="22"/>
      <c r="ER64" s="209"/>
    </row>
    <row r="65" spans="1:148" x14ac:dyDescent="0.3">
      <c r="A65" s="123">
        <v>0.625</v>
      </c>
      <c r="B65" s="259">
        <f t="shared" si="0"/>
        <v>0</v>
      </c>
      <c r="C65" s="22">
        <f t="shared" si="1"/>
        <v>0</v>
      </c>
      <c r="D65" s="21">
        <f t="shared" si="2"/>
        <v>0</v>
      </c>
      <c r="F65" s="219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125">
        <v>0.63541666666666663</v>
      </c>
      <c r="AK65" s="233">
        <f>IF('Temperature Profiles'!AA64&gt;17,(0.005*('Temperature Profiles'!AA64^2) - 0.1517*'Temperature Profiles'!AA64 + 1.1701)*1000,0)</f>
        <v>0</v>
      </c>
      <c r="AL65" s="22"/>
      <c r="AM65" s="22"/>
      <c r="AN65" s="22"/>
      <c r="AO65" s="22"/>
      <c r="AP65" s="22"/>
      <c r="AQ65" s="125">
        <v>0.63541666666666663</v>
      </c>
      <c r="AR65" s="211">
        <f>IF('Temperature Profiles'!AF64&gt;17,(0.005*('Temperature Profiles'!AF64^2) - 0.1517*'Temperature Profiles'!AF64 + 1.1702)*1000,0)</f>
        <v>2187.2645138888884</v>
      </c>
      <c r="AS65" s="22"/>
      <c r="AT65" s="22"/>
      <c r="AU65" s="22"/>
      <c r="AV65" s="22"/>
      <c r="AW65" s="22"/>
      <c r="AX65" s="22"/>
      <c r="AY65" s="22"/>
      <c r="AZ65" s="209"/>
      <c r="BB65" s="219"/>
      <c r="BC65" s="22"/>
      <c r="BD65" s="22"/>
      <c r="BE65" s="22"/>
      <c r="BF65" s="22"/>
      <c r="BG65" s="22"/>
      <c r="BH65" s="22"/>
      <c r="BI65" s="22"/>
      <c r="BJ65" s="22"/>
      <c r="BK65" s="22"/>
      <c r="BL65" s="22"/>
      <c r="BM65" s="22"/>
      <c r="BN65" s="22"/>
      <c r="BO65" s="22"/>
      <c r="BP65" s="22"/>
      <c r="BQ65" s="22"/>
      <c r="BR65" s="22"/>
      <c r="BS65" s="22"/>
      <c r="BT65" s="22"/>
      <c r="BU65" s="22"/>
      <c r="BV65" s="22"/>
      <c r="BW65" s="22"/>
      <c r="BX65" s="22"/>
      <c r="BY65" s="22"/>
      <c r="BZ65" s="22"/>
      <c r="CA65" s="22"/>
      <c r="CB65" s="22"/>
      <c r="CC65" s="22"/>
      <c r="CD65" s="22"/>
      <c r="CE65" s="22"/>
      <c r="CF65" s="125">
        <v>0.63541666666666663</v>
      </c>
      <c r="CG65" s="206">
        <f>IF('Temperature Profiles'!AA64&lt;17,(-0.0076*'Temperature Profiles'!AA64+0.1245)*1000,0)</f>
        <v>53.503333333333345</v>
      </c>
      <c r="CH65" s="22"/>
      <c r="CI65" s="22"/>
      <c r="CJ65" s="22"/>
      <c r="CK65" s="22"/>
      <c r="CL65" s="22"/>
      <c r="CM65" s="125">
        <v>0.63541666666666663</v>
      </c>
      <c r="CN65" s="206">
        <f>IF('Temperature Profiles'!AF64&lt;17,(-0.0076*'Temperature Profiles'!AF64+0.1245)*1000,0)</f>
        <v>0</v>
      </c>
      <c r="CO65" s="22"/>
      <c r="CP65" s="22"/>
      <c r="CQ65" s="22"/>
      <c r="CR65" s="22"/>
      <c r="CS65" s="22"/>
      <c r="CT65" s="22"/>
      <c r="CU65" s="22"/>
      <c r="CV65" s="209"/>
      <c r="CX65" s="219"/>
      <c r="CY65" s="22"/>
      <c r="CZ65" s="22"/>
      <c r="DA65" s="22"/>
      <c r="DB65" s="22"/>
      <c r="DC65" s="22"/>
      <c r="DD65" s="22"/>
      <c r="DE65" s="22"/>
      <c r="DF65" s="22"/>
      <c r="DG65" s="22"/>
      <c r="DH65" s="22"/>
      <c r="DI65" s="22"/>
      <c r="DJ65" s="22"/>
      <c r="DK65" s="22"/>
      <c r="DL65" s="22"/>
      <c r="DM65" s="22"/>
      <c r="DN65" s="22"/>
      <c r="DO65" s="22"/>
      <c r="DP65" s="22"/>
      <c r="DQ65" s="22"/>
      <c r="DR65" s="22"/>
      <c r="DS65" s="22"/>
      <c r="DT65" s="22"/>
      <c r="DU65" s="22"/>
      <c r="DV65" s="22"/>
      <c r="DW65" s="22"/>
      <c r="DX65" s="22"/>
      <c r="DY65" s="22"/>
      <c r="DZ65" s="22"/>
      <c r="EA65" s="22"/>
      <c r="EB65" s="125">
        <v>0.63541666666666663</v>
      </c>
      <c r="EC65" s="241">
        <f>IF('Temperature Profiles'!AA64&gt;17,(0.0043*('Temperature Profiles'!AA64^2)-0.1116*'Temperature Profiles'!AA64+0.6576)*1000,IF('Temperature Profiles'!AA64&lt;17,(0.0053*('Temperature Profiles'!AA64^2)-0.1876*'Temperature Profiles'!AA64+1.7649)*1000,0))</f>
        <v>474.91703472222247</v>
      </c>
      <c r="ED65" s="22"/>
      <c r="EE65" s="22"/>
      <c r="EF65" s="22"/>
      <c r="EG65" s="22"/>
      <c r="EH65" s="22"/>
      <c r="EI65" s="125">
        <v>0.63541666666666663</v>
      </c>
      <c r="EJ65" s="243">
        <f>IF('Temperature Profiles'!AF64&gt;17,(0.0043*('Temperature Profiles'!AF64^2)-0.1116*'Temperature Profiles'!AF64+0.6576)*1000,IF('Temperature Profiles'!AF64&lt;17,(0.0053*('Temperature Profiles'!AF64^2)-0.1876*'Temperature Profiles'!AF64+1.7649)*1000,0))</f>
        <v>2211.1502986111104</v>
      </c>
      <c r="EK65" s="22"/>
      <c r="EL65" s="22"/>
      <c r="EM65" s="22"/>
      <c r="EN65" s="22"/>
      <c r="EO65" s="22"/>
      <c r="EP65" s="22"/>
      <c r="EQ65" s="22"/>
      <c r="ER65" s="209"/>
    </row>
    <row r="66" spans="1:148" x14ac:dyDescent="0.3">
      <c r="A66" s="123">
        <v>0.63541666666666663</v>
      </c>
      <c r="B66" s="259">
        <f t="shared" si="0"/>
        <v>0</v>
      </c>
      <c r="C66" s="22">
        <f t="shared" si="1"/>
        <v>0</v>
      </c>
      <c r="D66" s="21">
        <f t="shared" si="2"/>
        <v>0</v>
      </c>
      <c r="F66" s="219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125">
        <v>0.64583333333333337</v>
      </c>
      <c r="AK66" s="233">
        <f>IF('Temperature Profiles'!AA65&gt;17,(0.005*('Temperature Profiles'!AA65^2) - 0.1517*'Temperature Profiles'!AA65 + 1.1701)*1000,0)</f>
        <v>0</v>
      </c>
      <c r="AL66" s="22"/>
      <c r="AM66" s="22"/>
      <c r="AN66" s="22"/>
      <c r="AO66" s="22"/>
      <c r="AP66" s="22"/>
      <c r="AQ66" s="125">
        <v>0.64583333333333337</v>
      </c>
      <c r="AR66" s="211">
        <f>IF('Temperature Profiles'!AF65&gt;17,(0.005*('Temperature Profiles'!AF65^2) - 0.1517*'Temperature Profiles'!AF65 + 1.1702)*1000,0)</f>
        <v>2187.2645138888884</v>
      </c>
      <c r="AS66" s="22"/>
      <c r="AT66" s="22"/>
      <c r="AU66" s="22"/>
      <c r="AV66" s="22"/>
      <c r="AW66" s="22"/>
      <c r="AX66" s="22"/>
      <c r="AY66" s="22"/>
      <c r="AZ66" s="209"/>
      <c r="BB66" s="219"/>
      <c r="BC66" s="22"/>
      <c r="BD66" s="22"/>
      <c r="BE66" s="22"/>
      <c r="BF66" s="22"/>
      <c r="BG66" s="22"/>
      <c r="BH66" s="22"/>
      <c r="BI66" s="22"/>
      <c r="BJ66" s="22"/>
      <c r="BK66" s="22"/>
      <c r="BL66" s="22"/>
      <c r="BM66" s="22"/>
      <c r="BN66" s="22"/>
      <c r="BO66" s="22"/>
      <c r="BP66" s="22"/>
      <c r="BQ66" s="22"/>
      <c r="BR66" s="22"/>
      <c r="BS66" s="22"/>
      <c r="BT66" s="22"/>
      <c r="BU66" s="22"/>
      <c r="BV66" s="22"/>
      <c r="BW66" s="22"/>
      <c r="BX66" s="22"/>
      <c r="BY66" s="22"/>
      <c r="BZ66" s="22"/>
      <c r="CA66" s="22"/>
      <c r="CB66" s="22"/>
      <c r="CC66" s="22"/>
      <c r="CD66" s="22"/>
      <c r="CE66" s="22"/>
      <c r="CF66" s="125">
        <v>0.64583333333333337</v>
      </c>
      <c r="CG66" s="206">
        <f>IF('Temperature Profiles'!AA65&lt;17,(-0.0076*'Temperature Profiles'!AA65+0.1245)*1000,0)</f>
        <v>53.503333333333345</v>
      </c>
      <c r="CH66" s="22"/>
      <c r="CI66" s="22"/>
      <c r="CJ66" s="22"/>
      <c r="CK66" s="22"/>
      <c r="CL66" s="22"/>
      <c r="CM66" s="125">
        <v>0.64583333333333337</v>
      </c>
      <c r="CN66" s="206">
        <f>IF('Temperature Profiles'!AF65&lt;17,(-0.0076*'Temperature Profiles'!AF65+0.1245)*1000,0)</f>
        <v>0</v>
      </c>
      <c r="CO66" s="22"/>
      <c r="CP66" s="22"/>
      <c r="CQ66" s="22"/>
      <c r="CR66" s="22"/>
      <c r="CS66" s="22"/>
      <c r="CT66" s="22"/>
      <c r="CU66" s="22"/>
      <c r="CV66" s="209"/>
      <c r="CX66" s="219"/>
      <c r="CY66" s="22"/>
      <c r="CZ66" s="22"/>
      <c r="DA66" s="22"/>
      <c r="DB66" s="22"/>
      <c r="DC66" s="22"/>
      <c r="DD66" s="22"/>
      <c r="DE66" s="22"/>
      <c r="DF66" s="22"/>
      <c r="DG66" s="22"/>
      <c r="DH66" s="22"/>
      <c r="DI66" s="22"/>
      <c r="DJ66" s="22"/>
      <c r="DK66" s="22"/>
      <c r="DL66" s="22"/>
      <c r="DM66" s="22"/>
      <c r="DN66" s="22"/>
      <c r="DO66" s="22"/>
      <c r="DP66" s="22"/>
      <c r="DQ66" s="22"/>
      <c r="DR66" s="22"/>
      <c r="DS66" s="22"/>
      <c r="DT66" s="22"/>
      <c r="DU66" s="22"/>
      <c r="DV66" s="22"/>
      <c r="DW66" s="22"/>
      <c r="DX66" s="22"/>
      <c r="DY66" s="22"/>
      <c r="DZ66" s="22"/>
      <c r="EA66" s="22"/>
      <c r="EB66" s="125">
        <v>0.64583333333333337</v>
      </c>
      <c r="EC66" s="241">
        <f>IF('Temperature Profiles'!AA65&gt;17,(0.0043*('Temperature Profiles'!AA65^2)-0.1116*'Temperature Profiles'!AA65+0.6576)*1000,IF('Temperature Profiles'!AA65&lt;17,(0.0053*('Temperature Profiles'!AA65^2)-0.1876*'Temperature Profiles'!AA65+1.7649)*1000,0))</f>
        <v>474.91703472222247</v>
      </c>
      <c r="ED66" s="22"/>
      <c r="EE66" s="22"/>
      <c r="EF66" s="22"/>
      <c r="EG66" s="22"/>
      <c r="EH66" s="22"/>
      <c r="EI66" s="125">
        <v>0.64583333333333337</v>
      </c>
      <c r="EJ66" s="243">
        <f>IF('Temperature Profiles'!AF65&gt;17,(0.0043*('Temperature Profiles'!AF65^2)-0.1116*'Temperature Profiles'!AF65+0.6576)*1000,IF('Temperature Profiles'!AF65&lt;17,(0.0053*('Temperature Profiles'!AF65^2)-0.1876*'Temperature Profiles'!AF65+1.7649)*1000,0))</f>
        <v>2211.1502986111104</v>
      </c>
      <c r="EK66" s="22"/>
      <c r="EL66" s="22"/>
      <c r="EM66" s="22"/>
      <c r="EN66" s="22"/>
      <c r="EO66" s="22"/>
      <c r="EP66" s="22"/>
      <c r="EQ66" s="22"/>
      <c r="ER66" s="209"/>
    </row>
    <row r="67" spans="1:148" x14ac:dyDescent="0.3">
      <c r="A67" s="123">
        <v>0.64583333333333337</v>
      </c>
      <c r="B67" s="259">
        <f t="shared" si="0"/>
        <v>0</v>
      </c>
      <c r="C67" s="22">
        <f t="shared" si="1"/>
        <v>0</v>
      </c>
      <c r="D67" s="21">
        <f t="shared" si="2"/>
        <v>0</v>
      </c>
      <c r="F67" s="219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125">
        <v>0.65625</v>
      </c>
      <c r="AK67" s="233">
        <f>IF('Temperature Profiles'!AA66&gt;17,(0.005*('Temperature Profiles'!AA66^2) - 0.1517*'Temperature Profiles'!AA66 + 1.1701)*1000,0)</f>
        <v>0</v>
      </c>
      <c r="AL67" s="22"/>
      <c r="AM67" s="22"/>
      <c r="AN67" s="22"/>
      <c r="AO67" s="22"/>
      <c r="AP67" s="22"/>
      <c r="AQ67" s="125">
        <v>0.65625</v>
      </c>
      <c r="AR67" s="211">
        <f>IF('Temperature Profiles'!AF66&gt;17,(0.005*('Temperature Profiles'!AF66^2) - 0.1517*'Temperature Profiles'!AF66 + 1.1702)*1000,0)</f>
        <v>2187.2645138888884</v>
      </c>
      <c r="AS67" s="22"/>
      <c r="AT67" s="22"/>
      <c r="AU67" s="22"/>
      <c r="AV67" s="22"/>
      <c r="AW67" s="22"/>
      <c r="AX67" s="22"/>
      <c r="AY67" s="22"/>
      <c r="AZ67" s="209"/>
      <c r="BB67" s="219"/>
      <c r="BC67" s="22"/>
      <c r="BD67" s="22"/>
      <c r="BE67" s="22"/>
      <c r="BF67" s="22"/>
      <c r="BG67" s="22"/>
      <c r="BH67" s="22"/>
      <c r="BI67" s="22"/>
      <c r="BJ67" s="22"/>
      <c r="BK67" s="22"/>
      <c r="BL67" s="22"/>
      <c r="BM67" s="22"/>
      <c r="BN67" s="22"/>
      <c r="BO67" s="22"/>
      <c r="BP67" s="22"/>
      <c r="BQ67" s="22"/>
      <c r="BR67" s="22"/>
      <c r="BS67" s="22"/>
      <c r="BT67" s="22"/>
      <c r="BU67" s="22"/>
      <c r="BV67" s="22"/>
      <c r="BW67" s="22"/>
      <c r="BX67" s="22"/>
      <c r="BY67" s="22"/>
      <c r="BZ67" s="22"/>
      <c r="CA67" s="22"/>
      <c r="CB67" s="22"/>
      <c r="CC67" s="22"/>
      <c r="CD67" s="22"/>
      <c r="CE67" s="22"/>
      <c r="CF67" s="125">
        <v>0.65625</v>
      </c>
      <c r="CG67" s="206">
        <f>IF('Temperature Profiles'!AA66&lt;17,(-0.0076*'Temperature Profiles'!AA66+0.1245)*1000,0)</f>
        <v>53.503333333333345</v>
      </c>
      <c r="CH67" s="22"/>
      <c r="CI67" s="22"/>
      <c r="CJ67" s="22"/>
      <c r="CK67" s="22"/>
      <c r="CL67" s="22"/>
      <c r="CM67" s="125">
        <v>0.65625</v>
      </c>
      <c r="CN67" s="206">
        <f>IF('Temperature Profiles'!AF66&lt;17,(-0.0076*'Temperature Profiles'!AF66+0.1245)*1000,0)</f>
        <v>0</v>
      </c>
      <c r="CO67" s="22"/>
      <c r="CP67" s="22"/>
      <c r="CQ67" s="22"/>
      <c r="CR67" s="22"/>
      <c r="CS67" s="22"/>
      <c r="CT67" s="22"/>
      <c r="CU67" s="22"/>
      <c r="CV67" s="209"/>
      <c r="CX67" s="219"/>
      <c r="CY67" s="22"/>
      <c r="CZ67" s="22"/>
      <c r="DA67" s="22"/>
      <c r="DB67" s="22"/>
      <c r="DC67" s="22"/>
      <c r="DD67" s="22"/>
      <c r="DE67" s="22"/>
      <c r="DF67" s="22"/>
      <c r="DG67" s="22"/>
      <c r="DH67" s="22"/>
      <c r="DI67" s="22"/>
      <c r="DJ67" s="22"/>
      <c r="DK67" s="22"/>
      <c r="DL67" s="22"/>
      <c r="DM67" s="22"/>
      <c r="DN67" s="22"/>
      <c r="DO67" s="22"/>
      <c r="DP67" s="22"/>
      <c r="DQ67" s="22"/>
      <c r="DR67" s="22"/>
      <c r="DS67" s="22"/>
      <c r="DT67" s="22"/>
      <c r="DU67" s="22"/>
      <c r="DV67" s="22"/>
      <c r="DW67" s="22"/>
      <c r="DX67" s="22"/>
      <c r="DY67" s="22"/>
      <c r="DZ67" s="22"/>
      <c r="EA67" s="22"/>
      <c r="EB67" s="125">
        <v>0.65625</v>
      </c>
      <c r="EC67" s="241">
        <f>IF('Temperature Profiles'!AA66&gt;17,(0.0043*('Temperature Profiles'!AA66^2)-0.1116*'Temperature Profiles'!AA66+0.6576)*1000,IF('Temperature Profiles'!AA66&lt;17,(0.0053*('Temperature Profiles'!AA66^2)-0.1876*'Temperature Profiles'!AA66+1.7649)*1000,0))</f>
        <v>474.91703472222247</v>
      </c>
      <c r="ED67" s="22"/>
      <c r="EE67" s="22"/>
      <c r="EF67" s="22"/>
      <c r="EG67" s="22"/>
      <c r="EH67" s="22"/>
      <c r="EI67" s="125">
        <v>0.65625</v>
      </c>
      <c r="EJ67" s="243">
        <f>IF('Temperature Profiles'!AF66&gt;17,(0.0043*('Temperature Profiles'!AF66^2)-0.1116*'Temperature Profiles'!AF66+0.6576)*1000,IF('Temperature Profiles'!AF66&lt;17,(0.0053*('Temperature Profiles'!AF66^2)-0.1876*'Temperature Profiles'!AF66+1.7649)*1000,0))</f>
        <v>2211.1502986111104</v>
      </c>
      <c r="EK67" s="22"/>
      <c r="EL67" s="22"/>
      <c r="EM67" s="22"/>
      <c r="EN67" s="22"/>
      <c r="EO67" s="22"/>
      <c r="EP67" s="22"/>
      <c r="EQ67" s="22"/>
      <c r="ER67" s="209"/>
    </row>
    <row r="68" spans="1:148" x14ac:dyDescent="0.3">
      <c r="A68" s="123">
        <v>0.65625</v>
      </c>
      <c r="B68" s="259">
        <f t="shared" si="0"/>
        <v>0</v>
      </c>
      <c r="C68" s="22">
        <f t="shared" si="1"/>
        <v>0</v>
      </c>
      <c r="D68" s="21">
        <f t="shared" si="2"/>
        <v>0</v>
      </c>
      <c r="F68" s="219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125">
        <v>0.66666666666666663</v>
      </c>
      <c r="AK68" s="233">
        <f>IF('Temperature Profiles'!AA67&gt;17,(0.005*('Temperature Profiles'!AA67^2) - 0.1517*'Temperature Profiles'!AA67 + 1.1701)*1000,0)</f>
        <v>0</v>
      </c>
      <c r="AL68" s="22"/>
      <c r="AM68" s="22"/>
      <c r="AN68" s="22"/>
      <c r="AO68" s="22"/>
      <c r="AP68" s="22"/>
      <c r="AQ68" s="125">
        <v>0.66666666666666663</v>
      </c>
      <c r="AR68" s="211">
        <f>IF('Temperature Profiles'!AF67&gt;17,(0.005*('Temperature Profiles'!AF67^2) - 0.1517*'Temperature Profiles'!AF67 + 1.1702)*1000,0)</f>
        <v>2187.2645138888884</v>
      </c>
      <c r="AS68" s="22"/>
      <c r="AT68" s="22"/>
      <c r="AU68" s="22"/>
      <c r="AV68" s="22"/>
      <c r="AW68" s="22"/>
      <c r="AX68" s="22"/>
      <c r="AY68" s="22"/>
      <c r="AZ68" s="209"/>
      <c r="BB68" s="219"/>
      <c r="BC68" s="22"/>
      <c r="BD68" s="22"/>
      <c r="BE68" s="22"/>
      <c r="BF68" s="22"/>
      <c r="BG68" s="22"/>
      <c r="BH68" s="22"/>
      <c r="BI68" s="22"/>
      <c r="BJ68" s="22"/>
      <c r="BK68" s="22"/>
      <c r="BL68" s="22"/>
      <c r="BM68" s="22"/>
      <c r="BN68" s="22"/>
      <c r="BO68" s="22"/>
      <c r="BP68" s="22"/>
      <c r="BQ68" s="22"/>
      <c r="BR68" s="22"/>
      <c r="BS68" s="22"/>
      <c r="BT68" s="22"/>
      <c r="BU68" s="22"/>
      <c r="BV68" s="22"/>
      <c r="BW68" s="22"/>
      <c r="BX68" s="22"/>
      <c r="BY68" s="22"/>
      <c r="BZ68" s="22"/>
      <c r="CA68" s="22"/>
      <c r="CB68" s="22"/>
      <c r="CC68" s="22"/>
      <c r="CD68" s="22"/>
      <c r="CE68" s="22"/>
      <c r="CF68" s="125">
        <v>0.66666666666666663</v>
      </c>
      <c r="CG68" s="206">
        <f>IF('Temperature Profiles'!AA67&lt;17,(-0.0076*'Temperature Profiles'!AA67+0.1245)*1000,0)</f>
        <v>53.503333333333345</v>
      </c>
      <c r="CH68" s="22"/>
      <c r="CI68" s="22"/>
      <c r="CJ68" s="22"/>
      <c r="CK68" s="22"/>
      <c r="CL68" s="22"/>
      <c r="CM68" s="125">
        <v>0.66666666666666663</v>
      </c>
      <c r="CN68" s="206">
        <f>IF('Temperature Profiles'!AF67&lt;17,(-0.0076*'Temperature Profiles'!AF67+0.1245)*1000,0)</f>
        <v>0</v>
      </c>
      <c r="CO68" s="22"/>
      <c r="CP68" s="22"/>
      <c r="CQ68" s="22"/>
      <c r="CR68" s="22"/>
      <c r="CS68" s="22"/>
      <c r="CT68" s="22"/>
      <c r="CU68" s="22"/>
      <c r="CV68" s="209"/>
      <c r="CX68" s="219"/>
      <c r="CY68" s="22"/>
      <c r="CZ68" s="22"/>
      <c r="DA68" s="22"/>
      <c r="DB68" s="22"/>
      <c r="DC68" s="22"/>
      <c r="DD68" s="22"/>
      <c r="DE68" s="22"/>
      <c r="DF68" s="22"/>
      <c r="DG68" s="22"/>
      <c r="DH68" s="22"/>
      <c r="DI68" s="22"/>
      <c r="DJ68" s="22"/>
      <c r="DK68" s="22"/>
      <c r="DL68" s="22"/>
      <c r="DM68" s="22"/>
      <c r="DN68" s="22"/>
      <c r="DO68" s="22"/>
      <c r="DP68" s="22"/>
      <c r="DQ68" s="22"/>
      <c r="DR68" s="22"/>
      <c r="DS68" s="22"/>
      <c r="DT68" s="22"/>
      <c r="DU68" s="22"/>
      <c r="DV68" s="22"/>
      <c r="DW68" s="22"/>
      <c r="DX68" s="22"/>
      <c r="DY68" s="22"/>
      <c r="DZ68" s="22"/>
      <c r="EA68" s="22"/>
      <c r="EB68" s="125">
        <v>0.66666666666666663</v>
      </c>
      <c r="EC68" s="241">
        <f>IF('Temperature Profiles'!AA67&gt;17,(0.0043*('Temperature Profiles'!AA67^2)-0.1116*'Temperature Profiles'!AA67+0.6576)*1000,IF('Temperature Profiles'!AA67&lt;17,(0.0053*('Temperature Profiles'!AA67^2)-0.1876*'Temperature Profiles'!AA67+1.7649)*1000,0))</f>
        <v>474.91703472222247</v>
      </c>
      <c r="ED68" s="22"/>
      <c r="EE68" s="22"/>
      <c r="EF68" s="22"/>
      <c r="EG68" s="22"/>
      <c r="EH68" s="22"/>
      <c r="EI68" s="125">
        <v>0.66666666666666663</v>
      </c>
      <c r="EJ68" s="243">
        <f>IF('Temperature Profiles'!AF67&gt;17,(0.0043*('Temperature Profiles'!AF67^2)-0.1116*'Temperature Profiles'!AF67+0.6576)*1000,IF('Temperature Profiles'!AF67&lt;17,(0.0053*('Temperature Profiles'!AF67^2)-0.1876*'Temperature Profiles'!AF67+1.7649)*1000,0))</f>
        <v>2211.1502986111104</v>
      </c>
      <c r="EK68" s="22"/>
      <c r="EL68" s="22"/>
      <c r="EM68" s="22"/>
      <c r="EN68" s="22"/>
      <c r="EO68" s="22"/>
      <c r="EP68" s="22"/>
      <c r="EQ68" s="22"/>
      <c r="ER68" s="209"/>
    </row>
    <row r="69" spans="1:148" x14ac:dyDescent="0.3">
      <c r="A69" s="123">
        <v>0.66666666666666663</v>
      </c>
      <c r="B69" s="259">
        <f t="shared" si="0"/>
        <v>0</v>
      </c>
      <c r="C69" s="22">
        <f t="shared" si="1"/>
        <v>0</v>
      </c>
      <c r="D69" s="21">
        <f t="shared" si="2"/>
        <v>0</v>
      </c>
      <c r="F69" s="219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125">
        <v>0.67708333333333337</v>
      </c>
      <c r="AK69" s="233">
        <f>IF('Temperature Profiles'!AA68&gt;17,(0.005*('Temperature Profiles'!AA68^2) - 0.1517*'Temperature Profiles'!AA68 + 1.1701)*1000,0)</f>
        <v>0</v>
      </c>
      <c r="AL69" s="22"/>
      <c r="AM69" s="22"/>
      <c r="AN69" s="22"/>
      <c r="AO69" s="22"/>
      <c r="AP69" s="22"/>
      <c r="AQ69" s="125">
        <v>0.67708333333333337</v>
      </c>
      <c r="AR69" s="211">
        <f>IF('Temperature Profiles'!AF68&gt;17,(0.005*('Temperature Profiles'!AF68^2) - 0.1517*'Temperature Profiles'!AF68 + 1.1702)*1000,0)</f>
        <v>2292.6228472222224</v>
      </c>
      <c r="AS69" s="22"/>
      <c r="AT69" s="22"/>
      <c r="AU69" s="22"/>
      <c r="AV69" s="22"/>
      <c r="AW69" s="22"/>
      <c r="AX69" s="22"/>
      <c r="AY69" s="22"/>
      <c r="AZ69" s="209"/>
      <c r="BB69" s="219"/>
      <c r="BC69" s="22"/>
      <c r="BD69" s="22"/>
      <c r="BE69" s="22"/>
      <c r="BF69" s="22"/>
      <c r="BG69" s="22"/>
      <c r="BH69" s="22"/>
      <c r="BI69" s="22"/>
      <c r="BJ69" s="22"/>
      <c r="BK69" s="22"/>
      <c r="BL69" s="22"/>
      <c r="BM69" s="22"/>
      <c r="BN69" s="22"/>
      <c r="BO69" s="22"/>
      <c r="BP69" s="22"/>
      <c r="BQ69" s="22"/>
      <c r="BR69" s="22"/>
      <c r="BS69" s="22"/>
      <c r="BT69" s="22"/>
      <c r="BU69" s="22"/>
      <c r="BV69" s="22"/>
      <c r="BW69" s="22"/>
      <c r="BX69" s="22"/>
      <c r="BY69" s="22"/>
      <c r="BZ69" s="22"/>
      <c r="CA69" s="22"/>
      <c r="CB69" s="22"/>
      <c r="CC69" s="22"/>
      <c r="CD69" s="22"/>
      <c r="CE69" s="22"/>
      <c r="CF69" s="125">
        <v>0.67708333333333337</v>
      </c>
      <c r="CG69" s="206">
        <f>IF('Temperature Profiles'!AA68&lt;17,(-0.0076*'Temperature Profiles'!AA68+0.1245)*1000,0)</f>
        <v>59.140000000000015</v>
      </c>
      <c r="CH69" s="22"/>
      <c r="CI69" s="22"/>
      <c r="CJ69" s="22"/>
      <c r="CK69" s="22"/>
      <c r="CL69" s="22"/>
      <c r="CM69" s="125">
        <v>0.67708333333333337</v>
      </c>
      <c r="CN69" s="206">
        <f>IF('Temperature Profiles'!AF68&lt;17,(-0.0076*'Temperature Profiles'!AF68+0.1245)*1000,0)</f>
        <v>0</v>
      </c>
      <c r="CO69" s="22"/>
      <c r="CP69" s="22"/>
      <c r="CQ69" s="22"/>
      <c r="CR69" s="22"/>
      <c r="CS69" s="22"/>
      <c r="CT69" s="22"/>
      <c r="CU69" s="22"/>
      <c r="CV69" s="209"/>
      <c r="CX69" s="219"/>
      <c r="CY69" s="22"/>
      <c r="CZ69" s="22"/>
      <c r="DA69" s="22"/>
      <c r="DB69" s="22"/>
      <c r="DC69" s="22"/>
      <c r="DD69" s="22"/>
      <c r="DE69" s="22"/>
      <c r="DF69" s="22"/>
      <c r="DG69" s="22"/>
      <c r="DH69" s="22"/>
      <c r="DI69" s="22"/>
      <c r="DJ69" s="22"/>
      <c r="DK69" s="22"/>
      <c r="DL69" s="22"/>
      <c r="DM69" s="22"/>
      <c r="DN69" s="22"/>
      <c r="DO69" s="22"/>
      <c r="DP69" s="22"/>
      <c r="DQ69" s="22"/>
      <c r="DR69" s="22"/>
      <c r="DS69" s="22"/>
      <c r="DT69" s="22"/>
      <c r="DU69" s="22"/>
      <c r="DV69" s="22"/>
      <c r="DW69" s="22"/>
      <c r="DX69" s="22"/>
      <c r="DY69" s="22"/>
      <c r="DZ69" s="22"/>
      <c r="EA69" s="22"/>
      <c r="EB69" s="125">
        <v>0.67708333333333337</v>
      </c>
      <c r="EC69" s="241">
        <f>IF('Temperature Profiles'!AA68&gt;17,(0.0043*('Temperature Profiles'!AA68^2)-0.1116*'Temperature Profiles'!AA68+0.6576)*1000,IF('Temperature Profiles'!AA68&lt;17,(0.0053*('Temperature Profiles'!AA68^2)-0.1876*'Temperature Profiles'!AA68+1.7649)*1000,0))</f>
        <v>543.52800000000025</v>
      </c>
      <c r="ED69" s="22"/>
      <c r="EE69" s="22"/>
      <c r="EF69" s="22"/>
      <c r="EG69" s="22"/>
      <c r="EH69" s="22"/>
      <c r="EI69" s="125">
        <v>0.67708333333333337</v>
      </c>
      <c r="EJ69" s="243">
        <f>IF('Temperature Profiles'!AF68&gt;17,(0.0043*('Temperature Profiles'!AF68^2)-0.1116*'Temperature Profiles'!AF68+0.6576)*1000,IF('Temperature Profiles'!AF68&lt;17,(0.0053*('Temperature Profiles'!AF68^2)-0.1876*'Temperature Profiles'!AF68+1.7649)*1000,0))</f>
        <v>2311.1894652777783</v>
      </c>
      <c r="EK69" s="22"/>
      <c r="EL69" s="22"/>
      <c r="EM69" s="22"/>
      <c r="EN69" s="22"/>
      <c r="EO69" s="22"/>
      <c r="EP69" s="22"/>
      <c r="EQ69" s="22"/>
      <c r="ER69" s="209"/>
    </row>
    <row r="70" spans="1:148" x14ac:dyDescent="0.3">
      <c r="A70" s="123">
        <v>0.67708333333333337</v>
      </c>
      <c r="B70" s="259">
        <f t="shared" si="0"/>
        <v>0</v>
      </c>
      <c r="C70" s="22">
        <f t="shared" si="1"/>
        <v>0</v>
      </c>
      <c r="D70" s="21">
        <f t="shared" si="2"/>
        <v>0</v>
      </c>
      <c r="F70" s="219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125">
        <v>0.6875</v>
      </c>
      <c r="AK70" s="233">
        <f>IF('Temperature Profiles'!AA69&gt;17,(0.005*('Temperature Profiles'!AA69^2) - 0.1517*'Temperature Profiles'!AA69 + 1.1701)*1000,0)</f>
        <v>0</v>
      </c>
      <c r="AL70" s="22"/>
      <c r="AM70" s="22"/>
      <c r="AN70" s="22"/>
      <c r="AO70" s="22"/>
      <c r="AP70" s="22"/>
      <c r="AQ70" s="125">
        <v>0.6875</v>
      </c>
      <c r="AR70" s="211">
        <f>IF('Temperature Profiles'!AF69&gt;17,(0.005*('Temperature Profiles'!AF69^2) - 0.1517*'Temperature Profiles'!AF69 + 1.1702)*1000,0)</f>
        <v>2292.6228472222224</v>
      </c>
      <c r="AS70" s="22"/>
      <c r="AT70" s="22"/>
      <c r="AU70" s="22"/>
      <c r="AV70" s="22"/>
      <c r="AW70" s="22"/>
      <c r="AX70" s="22"/>
      <c r="AY70" s="22"/>
      <c r="AZ70" s="209"/>
      <c r="BB70" s="219"/>
      <c r="BC70" s="22"/>
      <c r="BD70" s="22"/>
      <c r="BE70" s="22"/>
      <c r="BF70" s="22"/>
      <c r="BG70" s="22"/>
      <c r="BH70" s="22"/>
      <c r="BI70" s="22"/>
      <c r="BJ70" s="22"/>
      <c r="BK70" s="22"/>
      <c r="BL70" s="22"/>
      <c r="BM70" s="22"/>
      <c r="BN70" s="22"/>
      <c r="BO70" s="22"/>
      <c r="BP70" s="22"/>
      <c r="BQ70" s="22"/>
      <c r="BR70" s="22"/>
      <c r="BS70" s="22"/>
      <c r="BT70" s="22"/>
      <c r="BU70" s="22"/>
      <c r="BV70" s="22"/>
      <c r="BW70" s="22"/>
      <c r="BX70" s="22"/>
      <c r="BY70" s="22"/>
      <c r="BZ70" s="22"/>
      <c r="CA70" s="22"/>
      <c r="CB70" s="22"/>
      <c r="CC70" s="22"/>
      <c r="CD70" s="22"/>
      <c r="CE70" s="22"/>
      <c r="CF70" s="125">
        <v>0.6875</v>
      </c>
      <c r="CG70" s="206">
        <f>IF('Temperature Profiles'!AA69&lt;17,(-0.0076*'Temperature Profiles'!AA69+0.1245)*1000,0)</f>
        <v>59.140000000000015</v>
      </c>
      <c r="CH70" s="22"/>
      <c r="CI70" s="22"/>
      <c r="CJ70" s="22"/>
      <c r="CK70" s="22"/>
      <c r="CL70" s="22"/>
      <c r="CM70" s="125">
        <v>0.6875</v>
      </c>
      <c r="CN70" s="206">
        <f>IF('Temperature Profiles'!AF69&lt;17,(-0.0076*'Temperature Profiles'!AF69+0.1245)*1000,0)</f>
        <v>0</v>
      </c>
      <c r="CO70" s="22"/>
      <c r="CP70" s="22"/>
      <c r="CQ70" s="22"/>
      <c r="CR70" s="22"/>
      <c r="CS70" s="22"/>
      <c r="CT70" s="22"/>
      <c r="CU70" s="22"/>
      <c r="CV70" s="209"/>
      <c r="CX70" s="219"/>
      <c r="CY70" s="22"/>
      <c r="CZ70" s="22"/>
      <c r="DA70" s="22"/>
      <c r="DB70" s="22"/>
      <c r="DC70" s="22"/>
      <c r="DD70" s="22"/>
      <c r="DE70" s="22"/>
      <c r="DF70" s="22"/>
      <c r="DG70" s="22"/>
      <c r="DH70" s="22"/>
      <c r="DI70" s="22"/>
      <c r="DJ70" s="22"/>
      <c r="DK70" s="22"/>
      <c r="DL70" s="22"/>
      <c r="DM70" s="22"/>
      <c r="DN70" s="22"/>
      <c r="DO70" s="22"/>
      <c r="DP70" s="22"/>
      <c r="DQ70" s="22"/>
      <c r="DR70" s="22"/>
      <c r="DS70" s="22"/>
      <c r="DT70" s="22"/>
      <c r="DU70" s="22"/>
      <c r="DV70" s="22"/>
      <c r="DW70" s="22"/>
      <c r="DX70" s="22"/>
      <c r="DY70" s="22"/>
      <c r="DZ70" s="22"/>
      <c r="EA70" s="22"/>
      <c r="EB70" s="125">
        <v>0.6875</v>
      </c>
      <c r="EC70" s="241">
        <f>IF('Temperature Profiles'!AA69&gt;17,(0.0043*('Temperature Profiles'!AA69^2)-0.1116*'Temperature Profiles'!AA69+0.6576)*1000,IF('Temperature Profiles'!AA69&lt;17,(0.0053*('Temperature Profiles'!AA69^2)-0.1876*'Temperature Profiles'!AA69+1.7649)*1000,0))</f>
        <v>543.52800000000025</v>
      </c>
      <c r="ED70" s="22"/>
      <c r="EE70" s="22"/>
      <c r="EF70" s="22"/>
      <c r="EG70" s="22"/>
      <c r="EH70" s="22"/>
      <c r="EI70" s="125">
        <v>0.6875</v>
      </c>
      <c r="EJ70" s="243">
        <f>IF('Temperature Profiles'!AF69&gt;17,(0.0043*('Temperature Profiles'!AF69^2)-0.1116*'Temperature Profiles'!AF69+0.6576)*1000,IF('Temperature Profiles'!AF69&lt;17,(0.0053*('Temperature Profiles'!AF69^2)-0.1876*'Temperature Profiles'!AF69+1.7649)*1000,0))</f>
        <v>2311.1894652777783</v>
      </c>
      <c r="EK70" s="22"/>
      <c r="EL70" s="22"/>
      <c r="EM70" s="22"/>
      <c r="EN70" s="22"/>
      <c r="EO70" s="22"/>
      <c r="EP70" s="22"/>
      <c r="EQ70" s="22"/>
      <c r="ER70" s="209"/>
    </row>
    <row r="71" spans="1:148" x14ac:dyDescent="0.3">
      <c r="A71" s="123">
        <v>0.6875</v>
      </c>
      <c r="B71" s="259">
        <f t="shared" ref="B71:B101" si="3">IF(AND($B$3=$F$2,$D$3=$F$3),G70,IF(AND($B$3=$F$2,$D$3=$H$3),I70,IF(AND($B$3=$F$2,$D$3=$J$3),K70,IF(AND($B$3=$M$2,$D$3=$M$3),N70,IF(AND($B$3=$M$2,$D$3=$O$3),P70,IF(AND($B$3=$M$2,$D$3=$Q$3),R70,IF(AND($B$3=$T$2,$D$3=$T$3),U70,IF(AND($B$3=$T$2,$D$3=$V$3),W70,IF(AND($B$3=$T$2,$D$3=$X$3),Y70,IF(AND($B$3=$AA$2,$D$3=$AA$3),AB70,IF(AND($B$3=$AA$2,$D$3=$AC$3),AD70,IF(AND($B$3=$AA$2,$D$3=$AE$3),AF70,IF(AND($B$3=$AH$2,$D$3=$AH$3),AI70,IF(AND($B$3=$AH$2,$D$3=$AJ$3),AK70,IF(AND($B$3=$AH$2,$D$3=$AL$3),AM70,IF(AND($B$3=$AO$2,$D$3=$AO$3),AP70,IF(AND($B$3=$AO$2,$D$3=$AQ$3),AR70,IF(AND($B$3=$AO$2,$D$3=$AS$3),AT70,IF($B$3=$AV$3,AW70,IF($B$3=$AY$3,AZ70,0))))))))))))))))))))</f>
        <v>0</v>
      </c>
      <c r="C71" s="22">
        <f t="shared" ref="C71:C101" si="4">IF(AND($B$3=$BB$2,$D$3=$BB$3),BC70,IF(AND($B$3=$BB$2,$D$3=$BD$3),BE70,IF(AND($B$3=$BB$2,$D$3=$BF$3),BG70,IF(AND($B$3=$BI$2,$D$3=$BI$3),BJ70,IF(AND($B$3=$BI$2,$D$3=$BK$3),BL70,IF(AND($B$3=$BI$2,$D$3=$BM$3),BN70,IF(AND($B$3=$BP$2,$D$3=$BP$3),BQ70,IF(AND($B$3=$BP$2,$D$3=$BR$3),BS70,IF(AND($B$3=$BP$2,$D$3=$BT$3),BU70,IF(AND($B$3=$BW$2,$D$3=$BW$3),BX70,IF(AND($B$3=$BW$2,$D$3=$BY$3),BZ70,IF(AND($B$3=$BW$2,$D$3=$CA$3),CB70,IF(AND($B$3=$CD$2,$D$3=$CD$3),CE70,IF(AND($B$3=$CD$2,$D$3=$CF$3),CG70,IF(AND($B$3=$CD$2,$D$3=$CH$3),CI70,IF(AND($B$3=$CK$2,$D$3=$CK$3),CL70,IF(AND($B$3=$CK$2,$D$3=$CM$3),CN70,IF(AND($B$3=$CK$2,$D$3=$CO$3),CP70,IF($B$3=$CR$3,CS70,IF($B$3=$CU$3,CV70,0))))))))))))))))))))</f>
        <v>0</v>
      </c>
      <c r="D71" s="21">
        <f t="shared" ref="D71:D101" si="5">IF(AND($B$3=$CX$2,$D$3=$CX$3),CY70,IF(AND($B$3=$CX$2,$D$3=$CZ$3),DA70,IF(AND($B$3=$CX$2,$D$3=$DB$3),DC70,IF(AND($B$3=$DE$2,$D$3=$DE$3),DF70,IF(AND($B$3=$DE$2,$D$3=$DG$3),DH70,IF(AND($B$3=$DE$2,$D$3=$DI$3),DJ70,IF(AND($B$3=$DL$2,$D$3=$DL$3),DM70,IF(AND($B$3=$DL$2,$D$3=$DN$3),DO70,IF(AND($B$3=$DL$2,$D$3=$DP$3),DQ70,IF(AND($B$3=$DS$2,$D$3=$DS$3),DT70,IF(AND($B$3=$DS$2,$D$3=$DU$3),DV70,IF(AND($B$3=$DS$2,$D$3=$DW$3),DX70,IF(AND($B$3=$DZ$2,$D$3=$DZ$3),EA70,IF(AND($B$3=$DZ$2,$D$3=$EB$3),EC70,IF(AND($B$3=$DZ$2,$D$3=$ED$3),EE70,IF(AND($B$3=$EG$2,$D$3=$EG$3),EH70,IF(AND($B$3=$EG$2,$D$3=$EI$3),EJ70,IF(AND($B$3=$EG$2,$D$3=$EK$3),EL70,IF($B$3=$EN$3,EO70,IF($B$3=$EQ$3,ER70,0))))))))))))))))))))</f>
        <v>0</v>
      </c>
      <c r="F71" s="219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125">
        <v>0.69791666666666663</v>
      </c>
      <c r="AK71" s="233">
        <f>IF('Temperature Profiles'!AA70&gt;17,(0.005*('Temperature Profiles'!AA70^2) - 0.1517*'Temperature Profiles'!AA70 + 1.1701)*1000,0)</f>
        <v>0</v>
      </c>
      <c r="AL71" s="22"/>
      <c r="AM71" s="22"/>
      <c r="AN71" s="22"/>
      <c r="AO71" s="22"/>
      <c r="AP71" s="22"/>
      <c r="AQ71" s="125">
        <v>0.69791666666666663</v>
      </c>
      <c r="AR71" s="211">
        <f>IF('Temperature Profiles'!AF70&gt;17,(0.005*('Temperature Profiles'!AF70^2) - 0.1517*'Temperature Profiles'!AF70 + 1.1702)*1000,0)</f>
        <v>2292.6228472222224</v>
      </c>
      <c r="AS71" s="22"/>
      <c r="AT71" s="22"/>
      <c r="AU71" s="22"/>
      <c r="AV71" s="22"/>
      <c r="AW71" s="22"/>
      <c r="AX71" s="22"/>
      <c r="AY71" s="22"/>
      <c r="AZ71" s="209"/>
      <c r="BB71" s="219"/>
      <c r="BC71" s="22"/>
      <c r="BD71" s="22"/>
      <c r="BE71" s="22"/>
      <c r="BF71" s="22"/>
      <c r="BG71" s="22"/>
      <c r="BH71" s="22"/>
      <c r="BI71" s="22"/>
      <c r="BJ71" s="22"/>
      <c r="BK71" s="22"/>
      <c r="BL71" s="22"/>
      <c r="BM71" s="22"/>
      <c r="BN71" s="22"/>
      <c r="BO71" s="22"/>
      <c r="BP71" s="22"/>
      <c r="BQ71" s="22"/>
      <c r="BR71" s="22"/>
      <c r="BS71" s="22"/>
      <c r="BT71" s="22"/>
      <c r="BU71" s="22"/>
      <c r="BV71" s="22"/>
      <c r="BW71" s="22"/>
      <c r="BX71" s="22"/>
      <c r="BY71" s="22"/>
      <c r="BZ71" s="22"/>
      <c r="CA71" s="22"/>
      <c r="CB71" s="22"/>
      <c r="CC71" s="22"/>
      <c r="CD71" s="22"/>
      <c r="CE71" s="22"/>
      <c r="CF71" s="125">
        <v>0.69791666666666663</v>
      </c>
      <c r="CG71" s="206">
        <f>IF('Temperature Profiles'!AA70&lt;17,(-0.0076*'Temperature Profiles'!AA70+0.1245)*1000,0)</f>
        <v>59.140000000000015</v>
      </c>
      <c r="CH71" s="22"/>
      <c r="CI71" s="22"/>
      <c r="CJ71" s="22"/>
      <c r="CK71" s="22"/>
      <c r="CL71" s="22"/>
      <c r="CM71" s="125">
        <v>0.69791666666666663</v>
      </c>
      <c r="CN71" s="206">
        <f>IF('Temperature Profiles'!AF70&lt;17,(-0.0076*'Temperature Profiles'!AF70+0.1245)*1000,0)</f>
        <v>0</v>
      </c>
      <c r="CO71" s="22"/>
      <c r="CP71" s="22"/>
      <c r="CQ71" s="22"/>
      <c r="CR71" s="22"/>
      <c r="CS71" s="22"/>
      <c r="CT71" s="22"/>
      <c r="CU71" s="22"/>
      <c r="CV71" s="209"/>
      <c r="CX71" s="219"/>
      <c r="CY71" s="22"/>
      <c r="CZ71" s="22"/>
      <c r="DA71" s="22"/>
      <c r="DB71" s="22"/>
      <c r="DC71" s="22"/>
      <c r="DD71" s="22"/>
      <c r="DE71" s="22"/>
      <c r="DF71" s="22"/>
      <c r="DG71" s="22"/>
      <c r="DH71" s="22"/>
      <c r="DI71" s="22"/>
      <c r="DJ71" s="22"/>
      <c r="DK71" s="22"/>
      <c r="DL71" s="22"/>
      <c r="DM71" s="22"/>
      <c r="DN71" s="22"/>
      <c r="DO71" s="22"/>
      <c r="DP71" s="22"/>
      <c r="DQ71" s="22"/>
      <c r="DR71" s="22"/>
      <c r="DS71" s="22"/>
      <c r="DT71" s="22"/>
      <c r="DU71" s="22"/>
      <c r="DV71" s="22"/>
      <c r="DW71" s="22"/>
      <c r="DX71" s="22"/>
      <c r="DY71" s="22"/>
      <c r="DZ71" s="22"/>
      <c r="EA71" s="22"/>
      <c r="EB71" s="125">
        <v>0.69791666666666663</v>
      </c>
      <c r="EC71" s="241">
        <f>IF('Temperature Profiles'!AA70&gt;17,(0.0043*('Temperature Profiles'!AA70^2)-0.1116*'Temperature Profiles'!AA70+0.6576)*1000,IF('Temperature Profiles'!AA70&lt;17,(0.0053*('Temperature Profiles'!AA70^2)-0.1876*'Temperature Profiles'!AA70+1.7649)*1000,0))</f>
        <v>543.52800000000025</v>
      </c>
      <c r="ED71" s="22"/>
      <c r="EE71" s="22"/>
      <c r="EF71" s="22"/>
      <c r="EG71" s="22"/>
      <c r="EH71" s="22"/>
      <c r="EI71" s="125">
        <v>0.69791666666666663</v>
      </c>
      <c r="EJ71" s="243">
        <f>IF('Temperature Profiles'!AF70&gt;17,(0.0043*('Temperature Profiles'!AF70^2)-0.1116*'Temperature Profiles'!AF70+0.6576)*1000,IF('Temperature Profiles'!AF70&lt;17,(0.0053*('Temperature Profiles'!AF70^2)-0.1876*'Temperature Profiles'!AF70+1.7649)*1000,0))</f>
        <v>2311.1894652777783</v>
      </c>
      <c r="EK71" s="22"/>
      <c r="EL71" s="22"/>
      <c r="EM71" s="22"/>
      <c r="EN71" s="22"/>
      <c r="EO71" s="22"/>
      <c r="EP71" s="22"/>
      <c r="EQ71" s="22"/>
      <c r="ER71" s="209"/>
    </row>
    <row r="72" spans="1:148" x14ac:dyDescent="0.3">
      <c r="A72" s="123">
        <v>0.69791666666666663</v>
      </c>
      <c r="B72" s="259">
        <f t="shared" si="3"/>
        <v>0</v>
      </c>
      <c r="C72" s="22">
        <f t="shared" si="4"/>
        <v>0</v>
      </c>
      <c r="D72" s="21">
        <f t="shared" si="5"/>
        <v>0</v>
      </c>
      <c r="F72" s="219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125">
        <v>0.70833333333333337</v>
      </c>
      <c r="AK72" s="233">
        <f>IF('Temperature Profiles'!AA71&gt;17,(0.005*('Temperature Profiles'!AA71^2) - 0.1517*'Temperature Profiles'!AA71 + 1.1701)*1000,0)</f>
        <v>0</v>
      </c>
      <c r="AL72" s="22"/>
      <c r="AM72" s="22"/>
      <c r="AN72" s="22"/>
      <c r="AO72" s="22"/>
      <c r="AP72" s="22"/>
      <c r="AQ72" s="125">
        <v>0.70833333333333337</v>
      </c>
      <c r="AR72" s="211">
        <f>IF('Temperature Profiles'!AF71&gt;17,(0.005*('Temperature Profiles'!AF71^2) - 0.1517*'Temperature Profiles'!AF71 + 1.1702)*1000,0)</f>
        <v>2292.6228472222224</v>
      </c>
      <c r="AS72" s="22"/>
      <c r="AT72" s="22"/>
      <c r="AU72" s="22"/>
      <c r="AV72" s="22"/>
      <c r="AW72" s="22"/>
      <c r="AX72" s="22"/>
      <c r="AY72" s="22"/>
      <c r="AZ72" s="209"/>
      <c r="BB72" s="219"/>
      <c r="BC72" s="22"/>
      <c r="BD72" s="22"/>
      <c r="BE72" s="22"/>
      <c r="BF72" s="22"/>
      <c r="BG72" s="22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22"/>
      <c r="CE72" s="22"/>
      <c r="CF72" s="125">
        <v>0.70833333333333337</v>
      </c>
      <c r="CG72" s="206">
        <f>IF('Temperature Profiles'!AA71&lt;17,(-0.0076*'Temperature Profiles'!AA71+0.1245)*1000,0)</f>
        <v>59.140000000000015</v>
      </c>
      <c r="CH72" s="22"/>
      <c r="CI72" s="22"/>
      <c r="CJ72" s="22"/>
      <c r="CK72" s="22"/>
      <c r="CL72" s="22"/>
      <c r="CM72" s="125">
        <v>0.70833333333333337</v>
      </c>
      <c r="CN72" s="206">
        <f>IF('Temperature Profiles'!AF71&lt;17,(-0.0076*'Temperature Profiles'!AF71+0.1245)*1000,0)</f>
        <v>0</v>
      </c>
      <c r="CO72" s="22"/>
      <c r="CP72" s="22"/>
      <c r="CQ72" s="22"/>
      <c r="CR72" s="22"/>
      <c r="CS72" s="22"/>
      <c r="CT72" s="22"/>
      <c r="CU72" s="22"/>
      <c r="CV72" s="209"/>
      <c r="CX72" s="219"/>
      <c r="CY72" s="22"/>
      <c r="CZ72" s="22"/>
      <c r="DA72" s="22"/>
      <c r="DB72" s="22"/>
      <c r="DC72" s="22"/>
      <c r="DD72" s="22"/>
      <c r="DE72" s="22"/>
      <c r="DF72" s="22"/>
      <c r="DG72" s="22"/>
      <c r="DH72" s="22"/>
      <c r="DI72" s="22"/>
      <c r="DJ72" s="22"/>
      <c r="DK72" s="22"/>
      <c r="DL72" s="22"/>
      <c r="DM72" s="22"/>
      <c r="DN72" s="22"/>
      <c r="DO72" s="22"/>
      <c r="DP72" s="22"/>
      <c r="DQ72" s="22"/>
      <c r="DR72" s="22"/>
      <c r="DS72" s="22"/>
      <c r="DT72" s="22"/>
      <c r="DU72" s="22"/>
      <c r="DV72" s="22"/>
      <c r="DW72" s="22"/>
      <c r="DX72" s="22"/>
      <c r="DY72" s="22"/>
      <c r="DZ72" s="22"/>
      <c r="EA72" s="22"/>
      <c r="EB72" s="125">
        <v>0.70833333333333337</v>
      </c>
      <c r="EC72" s="241">
        <f>IF('Temperature Profiles'!AA71&gt;17,(0.0043*('Temperature Profiles'!AA71^2)-0.1116*'Temperature Profiles'!AA71+0.6576)*1000,IF('Temperature Profiles'!AA71&lt;17,(0.0053*('Temperature Profiles'!AA71^2)-0.1876*'Temperature Profiles'!AA71+1.7649)*1000,0))</f>
        <v>543.52800000000025</v>
      </c>
      <c r="ED72" s="22"/>
      <c r="EE72" s="22"/>
      <c r="EF72" s="22"/>
      <c r="EG72" s="22"/>
      <c r="EH72" s="22"/>
      <c r="EI72" s="125">
        <v>0.70833333333333337</v>
      </c>
      <c r="EJ72" s="243">
        <f>IF('Temperature Profiles'!AF71&gt;17,(0.0043*('Temperature Profiles'!AF71^2)-0.1116*'Temperature Profiles'!AF71+0.6576)*1000,IF('Temperature Profiles'!AF71&lt;17,(0.0053*('Temperature Profiles'!AF71^2)-0.1876*'Temperature Profiles'!AF71+1.7649)*1000,0))</f>
        <v>2311.1894652777783</v>
      </c>
      <c r="EK72" s="22"/>
      <c r="EL72" s="22"/>
      <c r="EM72" s="22"/>
      <c r="EN72" s="22"/>
      <c r="EO72" s="22"/>
      <c r="EP72" s="22"/>
      <c r="EQ72" s="22"/>
      <c r="ER72" s="209"/>
    </row>
    <row r="73" spans="1:148" x14ac:dyDescent="0.3">
      <c r="A73" s="123">
        <v>0.70833333333333337</v>
      </c>
      <c r="B73" s="259">
        <f t="shared" si="3"/>
        <v>0</v>
      </c>
      <c r="C73" s="22">
        <f t="shared" si="4"/>
        <v>0</v>
      </c>
      <c r="D73" s="21">
        <f t="shared" si="5"/>
        <v>0</v>
      </c>
      <c r="F73" s="219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125">
        <v>0.71875</v>
      </c>
      <c r="AK73" s="233">
        <f>IF('Temperature Profiles'!AA72&gt;17,(0.005*('Temperature Profiles'!AA72^2) - 0.1517*'Temperature Profiles'!AA72 + 1.1701)*1000,0)</f>
        <v>0</v>
      </c>
      <c r="AL73" s="22"/>
      <c r="AM73" s="22"/>
      <c r="AN73" s="22"/>
      <c r="AO73" s="22"/>
      <c r="AP73" s="22"/>
      <c r="AQ73" s="125">
        <v>0.71875</v>
      </c>
      <c r="AR73" s="211">
        <f>IF('Temperature Profiles'!AF72&gt;17,(0.005*('Temperature Profiles'!AF72^2) - 0.1517*'Temperature Profiles'!AF72 + 1.1702)*1000,0)</f>
        <v>2324.7178472222222</v>
      </c>
      <c r="AS73" s="22"/>
      <c r="AT73" s="22"/>
      <c r="AU73" s="22"/>
      <c r="AV73" s="22"/>
      <c r="AW73" s="22"/>
      <c r="AX73" s="22"/>
      <c r="AY73" s="22"/>
      <c r="AZ73" s="209"/>
      <c r="BB73" s="219"/>
      <c r="BC73" s="22"/>
      <c r="BD73" s="22"/>
      <c r="BE73" s="22"/>
      <c r="BF73" s="22"/>
      <c r="BG73" s="22"/>
      <c r="BH73" s="22"/>
      <c r="BI73" s="22"/>
      <c r="BJ73" s="22"/>
      <c r="BK73" s="22"/>
      <c r="BL73" s="22"/>
      <c r="BM73" s="22"/>
      <c r="BN73" s="22"/>
      <c r="BO73" s="22"/>
      <c r="BP73" s="22"/>
      <c r="BQ73" s="22"/>
      <c r="BR73" s="22"/>
      <c r="BS73" s="22"/>
      <c r="BT73" s="22"/>
      <c r="BU73" s="22"/>
      <c r="BV73" s="22"/>
      <c r="BW73" s="22"/>
      <c r="BX73" s="22"/>
      <c r="BY73" s="22"/>
      <c r="BZ73" s="22"/>
      <c r="CA73" s="22"/>
      <c r="CB73" s="22"/>
      <c r="CC73" s="22"/>
      <c r="CD73" s="22"/>
      <c r="CE73" s="22"/>
      <c r="CF73" s="125">
        <v>0.71875</v>
      </c>
      <c r="CG73" s="206">
        <f>IF('Temperature Profiles'!AA72&lt;17,(-0.0076*'Temperature Profiles'!AA72+0.1245)*1000,0)</f>
        <v>69.146666666666661</v>
      </c>
      <c r="CH73" s="22"/>
      <c r="CI73" s="22"/>
      <c r="CJ73" s="22"/>
      <c r="CK73" s="22"/>
      <c r="CL73" s="22"/>
      <c r="CM73" s="125">
        <v>0.71875</v>
      </c>
      <c r="CN73" s="206">
        <f>IF('Temperature Profiles'!AF72&lt;17,(-0.0076*'Temperature Profiles'!AF72+0.1245)*1000,0)</f>
        <v>0</v>
      </c>
      <c r="CO73" s="22"/>
      <c r="CP73" s="22"/>
      <c r="CQ73" s="22"/>
      <c r="CR73" s="22"/>
      <c r="CS73" s="22"/>
      <c r="CT73" s="22"/>
      <c r="CU73" s="22"/>
      <c r="CV73" s="209"/>
      <c r="CX73" s="219"/>
      <c r="CY73" s="22"/>
      <c r="CZ73" s="22"/>
      <c r="DA73" s="22"/>
      <c r="DB73" s="22"/>
      <c r="DC73" s="22"/>
      <c r="DD73" s="22"/>
      <c r="DE73" s="22"/>
      <c r="DF73" s="22"/>
      <c r="DG73" s="22"/>
      <c r="DH73" s="22"/>
      <c r="DI73" s="22"/>
      <c r="DJ73" s="22"/>
      <c r="DK73" s="22"/>
      <c r="DL73" s="22"/>
      <c r="DM73" s="22"/>
      <c r="DN73" s="22"/>
      <c r="DO73" s="22"/>
      <c r="DP73" s="22"/>
      <c r="DQ73" s="22"/>
      <c r="DR73" s="22"/>
      <c r="DS73" s="22"/>
      <c r="DT73" s="22"/>
      <c r="DU73" s="22"/>
      <c r="DV73" s="22"/>
      <c r="DW73" s="22"/>
      <c r="DX73" s="22"/>
      <c r="DY73" s="22"/>
      <c r="DZ73" s="22"/>
      <c r="EA73" s="22"/>
      <c r="EB73" s="125">
        <v>0.71875</v>
      </c>
      <c r="EC73" s="241">
        <f>IF('Temperature Profiles'!AA72&gt;17,(0.0043*('Temperature Profiles'!AA72^2)-0.1116*'Temperature Profiles'!AA72+0.6576)*1000,IF('Temperature Profiles'!AA72&lt;17,(0.0053*('Temperature Profiles'!AA72^2)-0.1876*'Temperature Profiles'!AA72+1.7649)*1000,0))</f>
        <v>679.69547222222218</v>
      </c>
      <c r="ED73" s="22"/>
      <c r="EE73" s="22"/>
      <c r="EF73" s="22"/>
      <c r="EG73" s="22"/>
      <c r="EH73" s="22"/>
      <c r="EI73" s="125">
        <v>0.71875</v>
      </c>
      <c r="EJ73" s="243">
        <f>IF('Temperature Profiles'!AF72&gt;17,(0.0043*('Temperature Profiles'!AF72^2)-0.1116*'Temperature Profiles'!AF72+0.6576)*1000,IF('Temperature Profiles'!AF72&lt;17,(0.0053*('Temperature Profiles'!AF72^2)-0.1876*'Temperature Profiles'!AF72+1.7649)*1000,0))</f>
        <v>2341.6204652777765</v>
      </c>
      <c r="EK73" s="22"/>
      <c r="EL73" s="22"/>
      <c r="EM73" s="22"/>
      <c r="EN73" s="22"/>
      <c r="EO73" s="22"/>
      <c r="EP73" s="22"/>
      <c r="EQ73" s="22"/>
      <c r="ER73" s="209"/>
    </row>
    <row r="74" spans="1:148" x14ac:dyDescent="0.3">
      <c r="A74" s="123">
        <v>0.71875</v>
      </c>
      <c r="B74" s="259">
        <f t="shared" si="3"/>
        <v>0</v>
      </c>
      <c r="C74" s="22">
        <f t="shared" si="4"/>
        <v>0</v>
      </c>
      <c r="D74" s="21">
        <f t="shared" si="5"/>
        <v>0</v>
      </c>
      <c r="F74" s="219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125">
        <v>0.72916666666666663</v>
      </c>
      <c r="AK74" s="233">
        <f>IF('Temperature Profiles'!AA73&gt;17,(0.005*('Temperature Profiles'!AA73^2) - 0.1517*'Temperature Profiles'!AA73 + 1.1701)*1000,0)</f>
        <v>0</v>
      </c>
      <c r="AL74" s="22"/>
      <c r="AM74" s="22"/>
      <c r="AN74" s="22"/>
      <c r="AO74" s="22"/>
      <c r="AP74" s="22"/>
      <c r="AQ74" s="125">
        <v>0.72916666666666663</v>
      </c>
      <c r="AR74" s="211">
        <f>IF('Temperature Profiles'!AF73&gt;17,(0.005*('Temperature Profiles'!AF73^2) - 0.1517*'Temperature Profiles'!AF73 + 1.1702)*1000,0)</f>
        <v>2324.7178472222222</v>
      </c>
      <c r="AS74" s="22"/>
      <c r="AT74" s="22"/>
      <c r="AU74" s="22"/>
      <c r="AV74" s="22"/>
      <c r="AW74" s="22"/>
      <c r="AX74" s="22"/>
      <c r="AY74" s="22"/>
      <c r="AZ74" s="209"/>
      <c r="BB74" s="219"/>
      <c r="BC74" s="22"/>
      <c r="BD74" s="22"/>
      <c r="BE74" s="22"/>
      <c r="BF74" s="22"/>
      <c r="BG74" s="22"/>
      <c r="BH74" s="22"/>
      <c r="BI74" s="22"/>
      <c r="BJ74" s="22"/>
      <c r="BK74" s="22"/>
      <c r="BL74" s="22"/>
      <c r="BM74" s="22"/>
      <c r="BN74" s="22"/>
      <c r="BO74" s="22"/>
      <c r="BP74" s="22"/>
      <c r="BQ74" s="22"/>
      <c r="BR74" s="22"/>
      <c r="BS74" s="22"/>
      <c r="BT74" s="22"/>
      <c r="BU74" s="22"/>
      <c r="BV74" s="22"/>
      <c r="BW74" s="22"/>
      <c r="BX74" s="22"/>
      <c r="BY74" s="22"/>
      <c r="BZ74" s="22"/>
      <c r="CA74" s="22"/>
      <c r="CB74" s="22"/>
      <c r="CC74" s="22"/>
      <c r="CD74" s="22"/>
      <c r="CE74" s="22"/>
      <c r="CF74" s="125">
        <v>0.72916666666666663</v>
      </c>
      <c r="CG74" s="206">
        <f>IF('Temperature Profiles'!AA73&lt;17,(-0.0076*'Temperature Profiles'!AA73+0.1245)*1000,0)</f>
        <v>69.146666666666661</v>
      </c>
      <c r="CH74" s="22"/>
      <c r="CI74" s="22"/>
      <c r="CJ74" s="22"/>
      <c r="CK74" s="22"/>
      <c r="CL74" s="22"/>
      <c r="CM74" s="125">
        <v>0.72916666666666663</v>
      </c>
      <c r="CN74" s="206">
        <f>IF('Temperature Profiles'!AF73&lt;17,(-0.0076*'Temperature Profiles'!AF73+0.1245)*1000,0)</f>
        <v>0</v>
      </c>
      <c r="CO74" s="22"/>
      <c r="CP74" s="22"/>
      <c r="CQ74" s="22"/>
      <c r="CR74" s="22"/>
      <c r="CS74" s="22"/>
      <c r="CT74" s="22"/>
      <c r="CU74" s="22"/>
      <c r="CV74" s="209"/>
      <c r="CX74" s="219"/>
      <c r="CY74" s="22"/>
      <c r="CZ74" s="22"/>
      <c r="DA74" s="22"/>
      <c r="DB74" s="22"/>
      <c r="DC74" s="22"/>
      <c r="DD74" s="22"/>
      <c r="DE74" s="22"/>
      <c r="DF74" s="22"/>
      <c r="DG74" s="22"/>
      <c r="DH74" s="22"/>
      <c r="DI74" s="22"/>
      <c r="DJ74" s="22"/>
      <c r="DK74" s="22"/>
      <c r="DL74" s="22"/>
      <c r="DM74" s="22"/>
      <c r="DN74" s="22"/>
      <c r="DO74" s="22"/>
      <c r="DP74" s="22"/>
      <c r="DQ74" s="22"/>
      <c r="DR74" s="22"/>
      <c r="DS74" s="22"/>
      <c r="DT74" s="22"/>
      <c r="DU74" s="22"/>
      <c r="DV74" s="22"/>
      <c r="DW74" s="22"/>
      <c r="DX74" s="22"/>
      <c r="DY74" s="22"/>
      <c r="DZ74" s="22"/>
      <c r="EA74" s="22"/>
      <c r="EB74" s="125">
        <v>0.72916666666666663</v>
      </c>
      <c r="EC74" s="241">
        <f>IF('Temperature Profiles'!AA73&gt;17,(0.0043*('Temperature Profiles'!AA73^2)-0.1116*'Temperature Profiles'!AA73+0.6576)*1000,IF('Temperature Profiles'!AA73&lt;17,(0.0053*('Temperature Profiles'!AA73^2)-0.1876*'Temperature Profiles'!AA73+1.7649)*1000,0))</f>
        <v>679.69547222222218</v>
      </c>
      <c r="ED74" s="22"/>
      <c r="EE74" s="22"/>
      <c r="EF74" s="22"/>
      <c r="EG74" s="22"/>
      <c r="EH74" s="22"/>
      <c r="EI74" s="125">
        <v>0.72916666666666663</v>
      </c>
      <c r="EJ74" s="243">
        <f>IF('Temperature Profiles'!AF73&gt;17,(0.0043*('Temperature Profiles'!AF73^2)-0.1116*'Temperature Profiles'!AF73+0.6576)*1000,IF('Temperature Profiles'!AF73&lt;17,(0.0053*('Temperature Profiles'!AF73^2)-0.1876*'Temperature Profiles'!AF73+1.7649)*1000,0))</f>
        <v>2341.6204652777765</v>
      </c>
      <c r="EK74" s="22"/>
      <c r="EL74" s="22"/>
      <c r="EM74" s="22"/>
      <c r="EN74" s="22"/>
      <c r="EO74" s="22"/>
      <c r="EP74" s="22"/>
      <c r="EQ74" s="22"/>
      <c r="ER74" s="209"/>
    </row>
    <row r="75" spans="1:148" x14ac:dyDescent="0.3">
      <c r="A75" s="123">
        <v>0.72916666666666663</v>
      </c>
      <c r="B75" s="259">
        <f t="shared" si="3"/>
        <v>0</v>
      </c>
      <c r="C75" s="22">
        <f t="shared" si="4"/>
        <v>0</v>
      </c>
      <c r="D75" s="21">
        <f t="shared" si="5"/>
        <v>0</v>
      </c>
      <c r="F75" s="219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125">
        <v>0.73958333333333337</v>
      </c>
      <c r="AK75" s="233">
        <f>IF('Temperature Profiles'!AA74&gt;17,(0.005*('Temperature Profiles'!AA74^2) - 0.1517*'Temperature Profiles'!AA74 + 1.1701)*1000,0)</f>
        <v>0</v>
      </c>
      <c r="AL75" s="22"/>
      <c r="AM75" s="22"/>
      <c r="AN75" s="22"/>
      <c r="AO75" s="22"/>
      <c r="AP75" s="22"/>
      <c r="AQ75" s="125">
        <v>0.73958333333333337</v>
      </c>
      <c r="AR75" s="211">
        <f>IF('Temperature Profiles'!AF74&gt;17,(0.005*('Temperature Profiles'!AF74^2) - 0.1517*'Temperature Profiles'!AF74 + 1.1702)*1000,0)</f>
        <v>2324.7178472222222</v>
      </c>
      <c r="AS75" s="22"/>
      <c r="AT75" s="22"/>
      <c r="AU75" s="22"/>
      <c r="AV75" s="22"/>
      <c r="AW75" s="22"/>
      <c r="AX75" s="22"/>
      <c r="AY75" s="22"/>
      <c r="AZ75" s="209"/>
      <c r="BB75" s="219"/>
      <c r="BC75" s="22"/>
      <c r="BD75" s="22"/>
      <c r="BE75" s="22"/>
      <c r="BF75" s="22"/>
      <c r="BG75" s="22"/>
      <c r="BH75" s="22"/>
      <c r="BI75" s="22"/>
      <c r="BJ75" s="22"/>
      <c r="BK75" s="22"/>
      <c r="BL75" s="22"/>
      <c r="BM75" s="22"/>
      <c r="BN75" s="22"/>
      <c r="BO75" s="22"/>
      <c r="BP75" s="22"/>
      <c r="BQ75" s="22"/>
      <c r="BR75" s="22"/>
      <c r="BS75" s="22"/>
      <c r="BT75" s="22"/>
      <c r="BU75" s="22"/>
      <c r="BV75" s="22"/>
      <c r="BW75" s="22"/>
      <c r="BX75" s="22"/>
      <c r="BY75" s="22"/>
      <c r="BZ75" s="22"/>
      <c r="CA75" s="22"/>
      <c r="CB75" s="22"/>
      <c r="CC75" s="22"/>
      <c r="CD75" s="22"/>
      <c r="CE75" s="22"/>
      <c r="CF75" s="125">
        <v>0.73958333333333337</v>
      </c>
      <c r="CG75" s="206">
        <f>IF('Temperature Profiles'!AA74&lt;17,(-0.0076*'Temperature Profiles'!AA74+0.1245)*1000,0)</f>
        <v>69.146666666666661</v>
      </c>
      <c r="CH75" s="22"/>
      <c r="CI75" s="22"/>
      <c r="CJ75" s="22"/>
      <c r="CK75" s="22"/>
      <c r="CL75" s="22"/>
      <c r="CM75" s="125">
        <v>0.73958333333333337</v>
      </c>
      <c r="CN75" s="206">
        <f>IF('Temperature Profiles'!AF74&lt;17,(-0.0076*'Temperature Profiles'!AF74+0.1245)*1000,0)</f>
        <v>0</v>
      </c>
      <c r="CO75" s="22"/>
      <c r="CP75" s="22"/>
      <c r="CQ75" s="22"/>
      <c r="CR75" s="22"/>
      <c r="CS75" s="22"/>
      <c r="CT75" s="22"/>
      <c r="CU75" s="22"/>
      <c r="CV75" s="209"/>
      <c r="CX75" s="219"/>
      <c r="CY75" s="22"/>
      <c r="CZ75" s="22"/>
      <c r="DA75" s="22"/>
      <c r="DB75" s="22"/>
      <c r="DC75" s="22"/>
      <c r="DD75" s="22"/>
      <c r="DE75" s="22"/>
      <c r="DF75" s="22"/>
      <c r="DG75" s="22"/>
      <c r="DH75" s="22"/>
      <c r="DI75" s="22"/>
      <c r="DJ75" s="22"/>
      <c r="DK75" s="22"/>
      <c r="DL75" s="22"/>
      <c r="DM75" s="22"/>
      <c r="DN75" s="22"/>
      <c r="DO75" s="22"/>
      <c r="DP75" s="22"/>
      <c r="DQ75" s="22"/>
      <c r="DR75" s="22"/>
      <c r="DS75" s="22"/>
      <c r="DT75" s="22"/>
      <c r="DU75" s="22"/>
      <c r="DV75" s="22"/>
      <c r="DW75" s="22"/>
      <c r="DX75" s="22"/>
      <c r="DY75" s="22"/>
      <c r="DZ75" s="22"/>
      <c r="EA75" s="22"/>
      <c r="EB75" s="125">
        <v>0.73958333333333337</v>
      </c>
      <c r="EC75" s="241">
        <f>IF('Temperature Profiles'!AA74&gt;17,(0.0043*('Temperature Profiles'!AA74^2)-0.1116*'Temperature Profiles'!AA74+0.6576)*1000,IF('Temperature Profiles'!AA74&lt;17,(0.0053*('Temperature Profiles'!AA74^2)-0.1876*'Temperature Profiles'!AA74+1.7649)*1000,0))</f>
        <v>679.69547222222218</v>
      </c>
      <c r="ED75" s="22"/>
      <c r="EE75" s="22"/>
      <c r="EF75" s="22"/>
      <c r="EG75" s="22"/>
      <c r="EH75" s="22"/>
      <c r="EI75" s="125">
        <v>0.73958333333333337</v>
      </c>
      <c r="EJ75" s="243">
        <f>IF('Temperature Profiles'!AF74&gt;17,(0.0043*('Temperature Profiles'!AF74^2)-0.1116*'Temperature Profiles'!AF74+0.6576)*1000,IF('Temperature Profiles'!AF74&lt;17,(0.0053*('Temperature Profiles'!AF74^2)-0.1876*'Temperature Profiles'!AF74+1.7649)*1000,0))</f>
        <v>2341.6204652777765</v>
      </c>
      <c r="EK75" s="22"/>
      <c r="EL75" s="22"/>
      <c r="EM75" s="22"/>
      <c r="EN75" s="22"/>
      <c r="EO75" s="22"/>
      <c r="EP75" s="22"/>
      <c r="EQ75" s="22"/>
      <c r="ER75" s="209"/>
    </row>
    <row r="76" spans="1:148" x14ac:dyDescent="0.3">
      <c r="A76" s="123">
        <v>0.73958333333333337</v>
      </c>
      <c r="B76" s="259">
        <f t="shared" si="3"/>
        <v>0</v>
      </c>
      <c r="C76" s="22">
        <f t="shared" si="4"/>
        <v>0</v>
      </c>
      <c r="D76" s="21">
        <f t="shared" si="5"/>
        <v>0</v>
      </c>
      <c r="F76" s="219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125">
        <v>0.75</v>
      </c>
      <c r="AK76" s="233">
        <f>IF('Temperature Profiles'!AA75&gt;17,(0.005*('Temperature Profiles'!AA75^2) - 0.1517*'Temperature Profiles'!AA75 + 1.1701)*1000,0)</f>
        <v>0</v>
      </c>
      <c r="AL76" s="22"/>
      <c r="AM76" s="22"/>
      <c r="AN76" s="22"/>
      <c r="AO76" s="22"/>
      <c r="AP76" s="22"/>
      <c r="AQ76" s="125">
        <v>0.75</v>
      </c>
      <c r="AR76" s="211">
        <f>IF('Temperature Profiles'!AF75&gt;17,(0.005*('Temperature Profiles'!AF75^2) - 0.1517*'Temperature Profiles'!AF75 + 1.1702)*1000,0)</f>
        <v>2324.7178472222222</v>
      </c>
      <c r="AS76" s="22"/>
      <c r="AT76" s="22"/>
      <c r="AU76" s="22"/>
      <c r="AV76" s="22"/>
      <c r="AW76" s="22"/>
      <c r="AX76" s="22"/>
      <c r="AY76" s="22"/>
      <c r="AZ76" s="209"/>
      <c r="BB76" s="219"/>
      <c r="BC76" s="22"/>
      <c r="BD76" s="22"/>
      <c r="BE76" s="22"/>
      <c r="BF76" s="22"/>
      <c r="BG76" s="22"/>
      <c r="BH76" s="22"/>
      <c r="BI76" s="22"/>
      <c r="BJ76" s="22"/>
      <c r="BK76" s="22"/>
      <c r="BL76" s="22"/>
      <c r="BM76" s="22"/>
      <c r="BN76" s="22"/>
      <c r="BO76" s="22"/>
      <c r="BP76" s="22"/>
      <c r="BQ76" s="22"/>
      <c r="BR76" s="22"/>
      <c r="BS76" s="22"/>
      <c r="BT76" s="22"/>
      <c r="BU76" s="22"/>
      <c r="BV76" s="22"/>
      <c r="BW76" s="22"/>
      <c r="BX76" s="22"/>
      <c r="BY76" s="22"/>
      <c r="BZ76" s="22"/>
      <c r="CA76" s="22"/>
      <c r="CB76" s="22"/>
      <c r="CC76" s="22"/>
      <c r="CD76" s="22"/>
      <c r="CE76" s="22"/>
      <c r="CF76" s="125">
        <v>0.75</v>
      </c>
      <c r="CG76" s="206">
        <f>IF('Temperature Profiles'!AA75&lt;17,(-0.0076*'Temperature Profiles'!AA75+0.1245)*1000,0)</f>
        <v>69.146666666666661</v>
      </c>
      <c r="CH76" s="22"/>
      <c r="CI76" s="22"/>
      <c r="CJ76" s="22"/>
      <c r="CK76" s="22"/>
      <c r="CL76" s="22"/>
      <c r="CM76" s="125">
        <v>0.75</v>
      </c>
      <c r="CN76" s="206">
        <f>IF('Temperature Profiles'!AF75&lt;17,(-0.0076*'Temperature Profiles'!AF75+0.1245)*1000,0)</f>
        <v>0</v>
      </c>
      <c r="CO76" s="22"/>
      <c r="CP76" s="22"/>
      <c r="CQ76" s="22"/>
      <c r="CR76" s="22"/>
      <c r="CS76" s="22"/>
      <c r="CT76" s="22"/>
      <c r="CU76" s="22"/>
      <c r="CV76" s="209"/>
      <c r="CX76" s="219"/>
      <c r="CY76" s="22"/>
      <c r="CZ76" s="22"/>
      <c r="DA76" s="22"/>
      <c r="DB76" s="22"/>
      <c r="DC76" s="22"/>
      <c r="DD76" s="22"/>
      <c r="DE76" s="22"/>
      <c r="DF76" s="22"/>
      <c r="DG76" s="22"/>
      <c r="DH76" s="22"/>
      <c r="DI76" s="22"/>
      <c r="DJ76" s="22"/>
      <c r="DK76" s="22"/>
      <c r="DL76" s="22"/>
      <c r="DM76" s="22"/>
      <c r="DN76" s="22"/>
      <c r="DO76" s="22"/>
      <c r="DP76" s="22"/>
      <c r="DQ76" s="22"/>
      <c r="DR76" s="22"/>
      <c r="DS76" s="22"/>
      <c r="DT76" s="22"/>
      <c r="DU76" s="22"/>
      <c r="DV76" s="22"/>
      <c r="DW76" s="22"/>
      <c r="DX76" s="22"/>
      <c r="DY76" s="22"/>
      <c r="DZ76" s="22"/>
      <c r="EA76" s="22"/>
      <c r="EB76" s="125">
        <v>0.75</v>
      </c>
      <c r="EC76" s="241">
        <f>IF('Temperature Profiles'!AA75&gt;17,(0.0043*('Temperature Profiles'!AA75^2)-0.1116*'Temperature Profiles'!AA75+0.6576)*1000,IF('Temperature Profiles'!AA75&lt;17,(0.0053*('Temperature Profiles'!AA75^2)-0.1876*'Temperature Profiles'!AA75+1.7649)*1000,0))</f>
        <v>679.69547222222218</v>
      </c>
      <c r="ED76" s="22"/>
      <c r="EE76" s="22"/>
      <c r="EF76" s="22"/>
      <c r="EG76" s="22"/>
      <c r="EH76" s="22"/>
      <c r="EI76" s="125">
        <v>0.75</v>
      </c>
      <c r="EJ76" s="243">
        <f>IF('Temperature Profiles'!AF75&gt;17,(0.0043*('Temperature Profiles'!AF75^2)-0.1116*'Temperature Profiles'!AF75+0.6576)*1000,IF('Temperature Profiles'!AF75&lt;17,(0.0053*('Temperature Profiles'!AF75^2)-0.1876*'Temperature Profiles'!AF75+1.7649)*1000,0))</f>
        <v>2341.6204652777765</v>
      </c>
      <c r="EK76" s="22"/>
      <c r="EL76" s="22"/>
      <c r="EM76" s="22"/>
      <c r="EN76" s="22"/>
      <c r="EO76" s="22"/>
      <c r="EP76" s="22"/>
      <c r="EQ76" s="22"/>
      <c r="ER76" s="209"/>
    </row>
    <row r="77" spans="1:148" x14ac:dyDescent="0.3">
      <c r="A77" s="123">
        <v>0.75</v>
      </c>
      <c r="B77" s="259">
        <f t="shared" si="3"/>
        <v>0</v>
      </c>
      <c r="C77" s="22">
        <f t="shared" si="4"/>
        <v>0</v>
      </c>
      <c r="D77" s="21">
        <f t="shared" si="5"/>
        <v>0</v>
      </c>
      <c r="F77" s="219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125">
        <v>0.76041666666666663</v>
      </c>
      <c r="AK77" s="233">
        <f>IF('Temperature Profiles'!AA76&gt;17,(0.005*('Temperature Profiles'!AA76^2) - 0.1517*'Temperature Profiles'!AA76 + 1.1701)*1000,0)</f>
        <v>0</v>
      </c>
      <c r="AL77" s="22"/>
      <c r="AM77" s="22"/>
      <c r="AN77" s="22"/>
      <c r="AO77" s="22"/>
      <c r="AP77" s="22"/>
      <c r="AQ77" s="125">
        <v>0.76041666666666663</v>
      </c>
      <c r="AR77" s="211">
        <f>IF('Temperature Profiles'!AF76&gt;17,(0.005*('Temperature Profiles'!AF76^2) - 0.1517*'Temperature Profiles'!AF76 + 1.1702)*1000,0)</f>
        <v>2253.7011805555562</v>
      </c>
      <c r="AS77" s="22"/>
      <c r="AT77" s="22"/>
      <c r="AU77" s="22"/>
      <c r="AV77" s="22"/>
      <c r="AW77" s="22"/>
      <c r="AX77" s="22"/>
      <c r="AY77" s="22"/>
      <c r="AZ77" s="209"/>
      <c r="BB77" s="219"/>
      <c r="BC77" s="22"/>
      <c r="BD77" s="22"/>
      <c r="BE77" s="22"/>
      <c r="BF77" s="22"/>
      <c r="BG77" s="22"/>
      <c r="BH77" s="22"/>
      <c r="BI77" s="22"/>
      <c r="BJ77" s="22"/>
      <c r="BK77" s="22"/>
      <c r="BL77" s="22"/>
      <c r="BM77" s="22"/>
      <c r="BN77" s="22"/>
      <c r="BO77" s="22"/>
      <c r="BP77" s="22"/>
      <c r="BQ77" s="22"/>
      <c r="BR77" s="22"/>
      <c r="BS77" s="22"/>
      <c r="BT77" s="22"/>
      <c r="BU77" s="22"/>
      <c r="BV77" s="22"/>
      <c r="BW77" s="22"/>
      <c r="BX77" s="22"/>
      <c r="BY77" s="22"/>
      <c r="BZ77" s="22"/>
      <c r="CA77" s="22"/>
      <c r="CB77" s="22"/>
      <c r="CC77" s="22"/>
      <c r="CD77" s="22"/>
      <c r="CE77" s="22"/>
      <c r="CF77" s="125">
        <v>0.76041666666666663</v>
      </c>
      <c r="CG77" s="206">
        <f>IF('Temperature Profiles'!AA76&lt;17,(-0.0076*'Temperature Profiles'!AA76+0.1245)*1000,0)</f>
        <v>77.569999999999993</v>
      </c>
      <c r="CH77" s="22"/>
      <c r="CI77" s="22"/>
      <c r="CJ77" s="22"/>
      <c r="CK77" s="22"/>
      <c r="CL77" s="22"/>
      <c r="CM77" s="125">
        <v>0.76041666666666663</v>
      </c>
      <c r="CN77" s="206">
        <f>IF('Temperature Profiles'!AF76&lt;17,(-0.0076*'Temperature Profiles'!AF76+0.1245)*1000,0)</f>
        <v>0</v>
      </c>
      <c r="CO77" s="22"/>
      <c r="CP77" s="22"/>
      <c r="CQ77" s="22"/>
      <c r="CR77" s="22"/>
      <c r="CS77" s="22"/>
      <c r="CT77" s="22"/>
      <c r="CU77" s="22"/>
      <c r="CV77" s="209"/>
      <c r="CX77" s="219"/>
      <c r="CY77" s="22"/>
      <c r="CZ77" s="22"/>
      <c r="DA77" s="22"/>
      <c r="DB77" s="22"/>
      <c r="DC77" s="22"/>
      <c r="DD77" s="22"/>
      <c r="DE77" s="22"/>
      <c r="DF77" s="22"/>
      <c r="DG77" s="22"/>
      <c r="DH77" s="22"/>
      <c r="DI77" s="22"/>
      <c r="DJ77" s="22"/>
      <c r="DK77" s="22"/>
      <c r="DL77" s="22"/>
      <c r="DM77" s="22"/>
      <c r="DN77" s="22"/>
      <c r="DO77" s="22"/>
      <c r="DP77" s="22"/>
      <c r="DQ77" s="22"/>
      <c r="DR77" s="22"/>
      <c r="DS77" s="22"/>
      <c r="DT77" s="22"/>
      <c r="DU77" s="22"/>
      <c r="DV77" s="22"/>
      <c r="DW77" s="22"/>
      <c r="DX77" s="22"/>
      <c r="DY77" s="22"/>
      <c r="DZ77" s="22"/>
      <c r="EA77" s="22"/>
      <c r="EB77" s="125">
        <v>0.76041666666666663</v>
      </c>
      <c r="EC77" s="241">
        <f>IF('Temperature Profiles'!AA76&gt;17,(0.0043*('Temperature Profiles'!AA76^2)-0.1116*'Temperature Profiles'!AA76+0.6576)*1000,IF('Temperature Profiles'!AA76&lt;17,(0.0053*('Temperature Profiles'!AA76^2)-0.1876*'Temperature Profiles'!AA76+1.7649)*1000,0))</f>
        <v>808.56231249999962</v>
      </c>
      <c r="ED77" s="22"/>
      <c r="EE77" s="22"/>
      <c r="EF77" s="22"/>
      <c r="EG77" s="22"/>
      <c r="EH77" s="22"/>
      <c r="EI77" s="125">
        <v>0.76041666666666663</v>
      </c>
      <c r="EJ77" s="243">
        <f>IF('Temperature Profiles'!AF76&gt;17,(0.0043*('Temperature Profiles'!AF76^2)-0.1116*'Temperature Profiles'!AF76+0.6576)*1000,IF('Temperature Profiles'!AF76&lt;17,(0.0053*('Temperature Profiles'!AF76^2)-0.1876*'Temperature Profiles'!AF76+1.7649)*1000,0))</f>
        <v>2274.2587986111107</v>
      </c>
      <c r="EK77" s="22"/>
      <c r="EL77" s="22"/>
      <c r="EM77" s="22"/>
      <c r="EN77" s="22"/>
      <c r="EO77" s="22"/>
      <c r="EP77" s="22"/>
      <c r="EQ77" s="22"/>
      <c r="ER77" s="209"/>
    </row>
    <row r="78" spans="1:148" x14ac:dyDescent="0.3">
      <c r="A78" s="123">
        <v>0.76041666666666663</v>
      </c>
      <c r="B78" s="259">
        <f t="shared" si="3"/>
        <v>0</v>
      </c>
      <c r="C78" s="22">
        <f t="shared" si="4"/>
        <v>0</v>
      </c>
      <c r="D78" s="21">
        <f t="shared" si="5"/>
        <v>0</v>
      </c>
      <c r="F78" s="219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125">
        <v>0.77083333333333337</v>
      </c>
      <c r="AK78" s="233">
        <f>IF('Temperature Profiles'!AA77&gt;17,(0.005*('Temperature Profiles'!AA77^2) - 0.1517*'Temperature Profiles'!AA77 + 1.1701)*1000,0)</f>
        <v>0</v>
      </c>
      <c r="AL78" s="22"/>
      <c r="AM78" s="22"/>
      <c r="AN78" s="22"/>
      <c r="AO78" s="22"/>
      <c r="AP78" s="22"/>
      <c r="AQ78" s="125">
        <v>0.77083333333333337</v>
      </c>
      <c r="AR78" s="211">
        <f>IF('Temperature Profiles'!AF77&gt;17,(0.005*('Temperature Profiles'!AF77^2) - 0.1517*'Temperature Profiles'!AF77 + 1.1702)*1000,0)</f>
        <v>2253.7011805555562</v>
      </c>
      <c r="AS78" s="22"/>
      <c r="AT78" s="22"/>
      <c r="AU78" s="22"/>
      <c r="AV78" s="22"/>
      <c r="AW78" s="22"/>
      <c r="AX78" s="22"/>
      <c r="AY78" s="22"/>
      <c r="AZ78" s="209"/>
      <c r="BB78" s="219"/>
      <c r="BC78" s="22"/>
      <c r="BD78" s="22"/>
      <c r="BE78" s="22"/>
      <c r="BF78" s="22"/>
      <c r="BG78" s="22"/>
      <c r="BH78" s="22"/>
      <c r="BI78" s="22"/>
      <c r="BJ78" s="22"/>
      <c r="BK78" s="22"/>
      <c r="BL78" s="22"/>
      <c r="BM78" s="22"/>
      <c r="BN78" s="22"/>
      <c r="BO78" s="22"/>
      <c r="BP78" s="22"/>
      <c r="BQ78" s="22"/>
      <c r="BR78" s="22"/>
      <c r="BS78" s="22"/>
      <c r="BT78" s="22"/>
      <c r="BU78" s="22"/>
      <c r="BV78" s="22"/>
      <c r="BW78" s="22"/>
      <c r="BX78" s="22"/>
      <c r="BY78" s="22"/>
      <c r="BZ78" s="22"/>
      <c r="CA78" s="22"/>
      <c r="CB78" s="22"/>
      <c r="CC78" s="22"/>
      <c r="CD78" s="22"/>
      <c r="CE78" s="22"/>
      <c r="CF78" s="125">
        <v>0.77083333333333337</v>
      </c>
      <c r="CG78" s="206">
        <f>IF('Temperature Profiles'!AA77&lt;17,(-0.0076*'Temperature Profiles'!AA77+0.1245)*1000,0)</f>
        <v>77.569999999999993</v>
      </c>
      <c r="CH78" s="22"/>
      <c r="CI78" s="22"/>
      <c r="CJ78" s="22"/>
      <c r="CK78" s="22"/>
      <c r="CL78" s="22"/>
      <c r="CM78" s="125">
        <v>0.77083333333333337</v>
      </c>
      <c r="CN78" s="206">
        <f>IF('Temperature Profiles'!AF77&lt;17,(-0.0076*'Temperature Profiles'!AF77+0.1245)*1000,0)</f>
        <v>0</v>
      </c>
      <c r="CO78" s="22"/>
      <c r="CP78" s="22"/>
      <c r="CQ78" s="22"/>
      <c r="CR78" s="22"/>
      <c r="CS78" s="22"/>
      <c r="CT78" s="22"/>
      <c r="CU78" s="22"/>
      <c r="CV78" s="209"/>
      <c r="CX78" s="219"/>
      <c r="CY78" s="22"/>
      <c r="CZ78" s="22"/>
      <c r="DA78" s="22"/>
      <c r="DB78" s="22"/>
      <c r="DC78" s="22"/>
      <c r="DD78" s="22"/>
      <c r="DE78" s="22"/>
      <c r="DF78" s="22"/>
      <c r="DG78" s="22"/>
      <c r="DH78" s="22"/>
      <c r="DI78" s="22"/>
      <c r="DJ78" s="22"/>
      <c r="DK78" s="22"/>
      <c r="DL78" s="22"/>
      <c r="DM78" s="22"/>
      <c r="DN78" s="22"/>
      <c r="DO78" s="22"/>
      <c r="DP78" s="22"/>
      <c r="DQ78" s="22"/>
      <c r="DR78" s="22"/>
      <c r="DS78" s="22"/>
      <c r="DT78" s="22"/>
      <c r="DU78" s="22"/>
      <c r="DV78" s="22"/>
      <c r="DW78" s="22"/>
      <c r="DX78" s="22"/>
      <c r="DY78" s="22"/>
      <c r="DZ78" s="22"/>
      <c r="EA78" s="22"/>
      <c r="EB78" s="125">
        <v>0.77083333333333337</v>
      </c>
      <c r="EC78" s="241">
        <f>IF('Temperature Profiles'!AA77&gt;17,(0.0043*('Temperature Profiles'!AA77^2)-0.1116*'Temperature Profiles'!AA77+0.6576)*1000,IF('Temperature Profiles'!AA77&lt;17,(0.0053*('Temperature Profiles'!AA77^2)-0.1876*'Temperature Profiles'!AA77+1.7649)*1000,0))</f>
        <v>808.56231249999962</v>
      </c>
      <c r="ED78" s="22"/>
      <c r="EE78" s="22"/>
      <c r="EF78" s="22"/>
      <c r="EG78" s="22"/>
      <c r="EH78" s="22"/>
      <c r="EI78" s="125">
        <v>0.77083333333333337</v>
      </c>
      <c r="EJ78" s="243">
        <f>IF('Temperature Profiles'!AF77&gt;17,(0.0043*('Temperature Profiles'!AF77^2)-0.1116*'Temperature Profiles'!AF77+0.6576)*1000,IF('Temperature Profiles'!AF77&lt;17,(0.0053*('Temperature Profiles'!AF77^2)-0.1876*'Temperature Profiles'!AF77+1.7649)*1000,0))</f>
        <v>2274.2587986111107</v>
      </c>
      <c r="EK78" s="22"/>
      <c r="EL78" s="22"/>
      <c r="EM78" s="22"/>
      <c r="EN78" s="22"/>
      <c r="EO78" s="22"/>
      <c r="EP78" s="22"/>
      <c r="EQ78" s="22"/>
      <c r="ER78" s="209"/>
    </row>
    <row r="79" spans="1:148" x14ac:dyDescent="0.3">
      <c r="A79" s="123">
        <v>0.77083333333333337</v>
      </c>
      <c r="B79" s="259">
        <f t="shared" si="3"/>
        <v>0</v>
      </c>
      <c r="C79" s="22">
        <f t="shared" si="4"/>
        <v>0</v>
      </c>
      <c r="D79" s="21">
        <f t="shared" si="5"/>
        <v>0</v>
      </c>
      <c r="F79" s="219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125">
        <v>0.78125</v>
      </c>
      <c r="AK79" s="233">
        <f>IF('Temperature Profiles'!AA78&gt;17,(0.005*('Temperature Profiles'!AA78^2) - 0.1517*'Temperature Profiles'!AA78 + 1.1701)*1000,0)</f>
        <v>0</v>
      </c>
      <c r="AL79" s="22"/>
      <c r="AM79" s="22"/>
      <c r="AN79" s="22"/>
      <c r="AO79" s="22"/>
      <c r="AP79" s="22"/>
      <c r="AQ79" s="125">
        <v>0.78125</v>
      </c>
      <c r="AR79" s="211">
        <f>IF('Temperature Profiles'!AF78&gt;17,(0.005*('Temperature Profiles'!AF78^2) - 0.1517*'Temperature Profiles'!AF78 + 1.1702)*1000,0)</f>
        <v>2253.7011805555562</v>
      </c>
      <c r="AS79" s="22"/>
      <c r="AT79" s="22"/>
      <c r="AU79" s="22"/>
      <c r="AV79" s="22"/>
      <c r="AW79" s="22"/>
      <c r="AX79" s="22"/>
      <c r="AY79" s="22"/>
      <c r="AZ79" s="209"/>
      <c r="BB79" s="219"/>
      <c r="BC79" s="22"/>
      <c r="BD79" s="22"/>
      <c r="BE79" s="22"/>
      <c r="BF79" s="22"/>
      <c r="BG79" s="22"/>
      <c r="BH79" s="22"/>
      <c r="BI79" s="22"/>
      <c r="BJ79" s="22"/>
      <c r="BK79" s="22"/>
      <c r="BL79" s="22"/>
      <c r="BM79" s="22"/>
      <c r="BN79" s="22"/>
      <c r="BO79" s="22"/>
      <c r="BP79" s="22"/>
      <c r="BQ79" s="22"/>
      <c r="BR79" s="22"/>
      <c r="BS79" s="22"/>
      <c r="BT79" s="22"/>
      <c r="BU79" s="22"/>
      <c r="BV79" s="22"/>
      <c r="BW79" s="22"/>
      <c r="BX79" s="22"/>
      <c r="BY79" s="22"/>
      <c r="BZ79" s="22"/>
      <c r="CA79" s="22"/>
      <c r="CB79" s="22"/>
      <c r="CC79" s="22"/>
      <c r="CD79" s="22"/>
      <c r="CE79" s="22"/>
      <c r="CF79" s="125">
        <v>0.78125</v>
      </c>
      <c r="CG79" s="206">
        <f>IF('Temperature Profiles'!AA78&lt;17,(-0.0076*'Temperature Profiles'!AA78+0.1245)*1000,0)</f>
        <v>77.569999999999993</v>
      </c>
      <c r="CH79" s="22"/>
      <c r="CI79" s="22"/>
      <c r="CJ79" s="22"/>
      <c r="CK79" s="22"/>
      <c r="CL79" s="22"/>
      <c r="CM79" s="125">
        <v>0.78125</v>
      </c>
      <c r="CN79" s="206">
        <f>IF('Temperature Profiles'!AF78&lt;17,(-0.0076*'Temperature Profiles'!AF78+0.1245)*1000,0)</f>
        <v>0</v>
      </c>
      <c r="CO79" s="22"/>
      <c r="CP79" s="22"/>
      <c r="CQ79" s="22"/>
      <c r="CR79" s="22"/>
      <c r="CS79" s="22"/>
      <c r="CT79" s="22"/>
      <c r="CU79" s="22"/>
      <c r="CV79" s="209"/>
      <c r="CX79" s="219"/>
      <c r="CY79" s="22"/>
      <c r="CZ79" s="22"/>
      <c r="DA79" s="22"/>
      <c r="DB79" s="22"/>
      <c r="DC79" s="22"/>
      <c r="DD79" s="22"/>
      <c r="DE79" s="22"/>
      <c r="DF79" s="22"/>
      <c r="DG79" s="22"/>
      <c r="DH79" s="22"/>
      <c r="DI79" s="22"/>
      <c r="DJ79" s="22"/>
      <c r="DK79" s="22"/>
      <c r="DL79" s="22"/>
      <c r="DM79" s="22"/>
      <c r="DN79" s="22"/>
      <c r="DO79" s="22"/>
      <c r="DP79" s="22"/>
      <c r="DQ79" s="22"/>
      <c r="DR79" s="22"/>
      <c r="DS79" s="22"/>
      <c r="DT79" s="22"/>
      <c r="DU79" s="22"/>
      <c r="DV79" s="22"/>
      <c r="DW79" s="22"/>
      <c r="DX79" s="22"/>
      <c r="DY79" s="22"/>
      <c r="DZ79" s="22"/>
      <c r="EA79" s="22"/>
      <c r="EB79" s="125">
        <v>0.78125</v>
      </c>
      <c r="EC79" s="241">
        <f>IF('Temperature Profiles'!AA78&gt;17,(0.0043*('Temperature Profiles'!AA78^2)-0.1116*'Temperature Profiles'!AA78+0.6576)*1000,IF('Temperature Profiles'!AA78&lt;17,(0.0053*('Temperature Profiles'!AA78^2)-0.1876*'Temperature Profiles'!AA78+1.7649)*1000,0))</f>
        <v>808.56231249999962</v>
      </c>
      <c r="ED79" s="22"/>
      <c r="EE79" s="22"/>
      <c r="EF79" s="22"/>
      <c r="EG79" s="22"/>
      <c r="EH79" s="22"/>
      <c r="EI79" s="125">
        <v>0.78125</v>
      </c>
      <c r="EJ79" s="243">
        <f>IF('Temperature Profiles'!AF78&gt;17,(0.0043*('Temperature Profiles'!AF78^2)-0.1116*'Temperature Profiles'!AF78+0.6576)*1000,IF('Temperature Profiles'!AF78&lt;17,(0.0053*('Temperature Profiles'!AF78^2)-0.1876*'Temperature Profiles'!AF78+1.7649)*1000,0))</f>
        <v>2274.2587986111107</v>
      </c>
      <c r="EK79" s="22"/>
      <c r="EL79" s="22"/>
      <c r="EM79" s="22"/>
      <c r="EN79" s="22"/>
      <c r="EO79" s="22"/>
      <c r="EP79" s="22"/>
      <c r="EQ79" s="22"/>
      <c r="ER79" s="209"/>
    </row>
    <row r="80" spans="1:148" x14ac:dyDescent="0.3">
      <c r="A80" s="123">
        <v>0.78125</v>
      </c>
      <c r="B80" s="259">
        <f t="shared" si="3"/>
        <v>0</v>
      </c>
      <c r="C80" s="22">
        <f t="shared" si="4"/>
        <v>0</v>
      </c>
      <c r="D80" s="21">
        <f t="shared" si="5"/>
        <v>0</v>
      </c>
      <c r="F80" s="219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125">
        <v>0.79166666666666663</v>
      </c>
      <c r="AK80" s="233">
        <f>IF('Temperature Profiles'!AA79&gt;17,(0.005*('Temperature Profiles'!AA79^2) - 0.1517*'Temperature Profiles'!AA79 + 1.1701)*1000,0)</f>
        <v>0</v>
      </c>
      <c r="AL80" s="22"/>
      <c r="AM80" s="22"/>
      <c r="AN80" s="22"/>
      <c r="AO80" s="22"/>
      <c r="AP80" s="22"/>
      <c r="AQ80" s="125">
        <v>0.79166666666666663</v>
      </c>
      <c r="AR80" s="211">
        <f>IF('Temperature Profiles'!AF79&gt;17,(0.005*('Temperature Profiles'!AF79^2) - 0.1517*'Temperature Profiles'!AF79 + 1.1702)*1000,0)</f>
        <v>2253.7011805555562</v>
      </c>
      <c r="AS80" s="22"/>
      <c r="AT80" s="22"/>
      <c r="AU80" s="22"/>
      <c r="AV80" s="22"/>
      <c r="AW80" s="22"/>
      <c r="AX80" s="22"/>
      <c r="AY80" s="22"/>
      <c r="AZ80" s="209"/>
      <c r="BB80" s="219"/>
      <c r="BC80" s="22"/>
      <c r="BD80" s="22"/>
      <c r="BE80" s="22"/>
      <c r="BF80" s="22"/>
      <c r="BG80" s="22"/>
      <c r="BH80" s="22"/>
      <c r="BI80" s="22"/>
      <c r="BJ80" s="22"/>
      <c r="BK80" s="22"/>
      <c r="BL80" s="22"/>
      <c r="BM80" s="22"/>
      <c r="BN80" s="22"/>
      <c r="BO80" s="22"/>
      <c r="BP80" s="22"/>
      <c r="BQ80" s="22"/>
      <c r="BR80" s="22"/>
      <c r="BS80" s="22"/>
      <c r="BT80" s="22"/>
      <c r="BU80" s="22"/>
      <c r="BV80" s="22"/>
      <c r="BW80" s="22"/>
      <c r="BX80" s="22"/>
      <c r="BY80" s="22"/>
      <c r="BZ80" s="22"/>
      <c r="CA80" s="22"/>
      <c r="CB80" s="22"/>
      <c r="CC80" s="22"/>
      <c r="CD80" s="22"/>
      <c r="CE80" s="22"/>
      <c r="CF80" s="125">
        <v>0.79166666666666663</v>
      </c>
      <c r="CG80" s="206">
        <f>IF('Temperature Profiles'!AA79&lt;17,(-0.0076*'Temperature Profiles'!AA79+0.1245)*1000,0)</f>
        <v>77.569999999999993</v>
      </c>
      <c r="CH80" s="22"/>
      <c r="CI80" s="22"/>
      <c r="CJ80" s="22"/>
      <c r="CK80" s="22"/>
      <c r="CL80" s="22"/>
      <c r="CM80" s="125">
        <v>0.79166666666666663</v>
      </c>
      <c r="CN80" s="206">
        <f>IF('Temperature Profiles'!AF79&lt;17,(-0.0076*'Temperature Profiles'!AF79+0.1245)*1000,0)</f>
        <v>0</v>
      </c>
      <c r="CO80" s="22"/>
      <c r="CP80" s="22"/>
      <c r="CQ80" s="22"/>
      <c r="CR80" s="22"/>
      <c r="CS80" s="22"/>
      <c r="CT80" s="22"/>
      <c r="CU80" s="22"/>
      <c r="CV80" s="209"/>
      <c r="CX80" s="219"/>
      <c r="CY80" s="22"/>
      <c r="CZ80" s="22"/>
      <c r="DA80" s="22"/>
      <c r="DB80" s="22"/>
      <c r="DC80" s="22"/>
      <c r="DD80" s="22"/>
      <c r="DE80" s="22"/>
      <c r="DF80" s="22"/>
      <c r="DG80" s="22"/>
      <c r="DH80" s="22"/>
      <c r="DI80" s="22"/>
      <c r="DJ80" s="22"/>
      <c r="DK80" s="22"/>
      <c r="DL80" s="22"/>
      <c r="DM80" s="22"/>
      <c r="DN80" s="22"/>
      <c r="DO80" s="22"/>
      <c r="DP80" s="22"/>
      <c r="DQ80" s="22"/>
      <c r="DR80" s="22"/>
      <c r="DS80" s="22"/>
      <c r="DT80" s="22"/>
      <c r="DU80" s="22"/>
      <c r="DV80" s="22"/>
      <c r="DW80" s="22"/>
      <c r="DX80" s="22"/>
      <c r="DY80" s="22"/>
      <c r="DZ80" s="22"/>
      <c r="EA80" s="22"/>
      <c r="EB80" s="125">
        <v>0.79166666666666663</v>
      </c>
      <c r="EC80" s="241">
        <f>IF('Temperature Profiles'!AA79&gt;17,(0.0043*('Temperature Profiles'!AA79^2)-0.1116*'Temperature Profiles'!AA79+0.6576)*1000,IF('Temperature Profiles'!AA79&lt;17,(0.0053*('Temperature Profiles'!AA79^2)-0.1876*'Temperature Profiles'!AA79+1.7649)*1000,0))</f>
        <v>808.56231249999962</v>
      </c>
      <c r="ED80" s="22"/>
      <c r="EE80" s="22"/>
      <c r="EF80" s="22"/>
      <c r="EG80" s="22"/>
      <c r="EH80" s="22"/>
      <c r="EI80" s="125">
        <v>0.79166666666666663</v>
      </c>
      <c r="EJ80" s="243">
        <f>IF('Temperature Profiles'!AF79&gt;17,(0.0043*('Temperature Profiles'!AF79^2)-0.1116*'Temperature Profiles'!AF79+0.6576)*1000,IF('Temperature Profiles'!AF79&lt;17,(0.0053*('Temperature Profiles'!AF79^2)-0.1876*'Temperature Profiles'!AF79+1.7649)*1000,0))</f>
        <v>2274.2587986111107</v>
      </c>
      <c r="EK80" s="22"/>
      <c r="EL80" s="22"/>
      <c r="EM80" s="22"/>
      <c r="EN80" s="22"/>
      <c r="EO80" s="22"/>
      <c r="EP80" s="22"/>
      <c r="EQ80" s="22"/>
      <c r="ER80" s="209"/>
    </row>
    <row r="81" spans="1:148" x14ac:dyDescent="0.3">
      <c r="A81" s="123">
        <v>0.79166666666666663</v>
      </c>
      <c r="B81" s="259">
        <f t="shared" si="3"/>
        <v>0</v>
      </c>
      <c r="C81" s="22">
        <f t="shared" si="4"/>
        <v>0</v>
      </c>
      <c r="D81" s="21">
        <f t="shared" si="5"/>
        <v>0</v>
      </c>
      <c r="F81" s="219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125">
        <v>0.80208333333333337</v>
      </c>
      <c r="AK81" s="233">
        <f>IF('Temperature Profiles'!AA80&gt;17,(0.005*('Temperature Profiles'!AA80^2) - 0.1517*'Temperature Profiles'!AA80 + 1.1701)*1000,0)</f>
        <v>0</v>
      </c>
      <c r="AL81" s="22"/>
      <c r="AM81" s="22"/>
      <c r="AN81" s="22"/>
      <c r="AO81" s="22"/>
      <c r="AP81" s="22"/>
      <c r="AQ81" s="125">
        <v>0.80208333333333337</v>
      </c>
      <c r="AR81" s="211">
        <f>IF('Temperature Profiles'!AF80&gt;17,(0.005*('Temperature Profiles'!AF80^2) - 0.1517*'Temperature Profiles'!AF80 + 1.1702)*1000,0)</f>
        <v>2065.8200000000002</v>
      </c>
      <c r="AS81" s="22"/>
      <c r="AT81" s="22"/>
      <c r="AU81" s="22"/>
      <c r="AV81" s="22"/>
      <c r="AW81" s="22"/>
      <c r="AX81" s="22"/>
      <c r="AY81" s="22"/>
      <c r="AZ81" s="209"/>
      <c r="BB81" s="219"/>
      <c r="BC81" s="22"/>
      <c r="BD81" s="22"/>
      <c r="BE81" s="22"/>
      <c r="BF81" s="22"/>
      <c r="BG81" s="22"/>
      <c r="BH81" s="22"/>
      <c r="BI81" s="22"/>
      <c r="BJ81" s="22"/>
      <c r="BK81" s="22"/>
      <c r="BL81" s="22"/>
      <c r="BM81" s="22"/>
      <c r="BN81" s="22"/>
      <c r="BO81" s="22"/>
      <c r="BP81" s="22"/>
      <c r="BQ81" s="22"/>
      <c r="BR81" s="22"/>
      <c r="BS81" s="22"/>
      <c r="BT81" s="22"/>
      <c r="BU81" s="22"/>
      <c r="BV81" s="22"/>
      <c r="BW81" s="22"/>
      <c r="BX81" s="22"/>
      <c r="BY81" s="22"/>
      <c r="BZ81" s="22"/>
      <c r="CA81" s="22"/>
      <c r="CB81" s="22"/>
      <c r="CC81" s="22"/>
      <c r="CD81" s="22"/>
      <c r="CE81" s="22"/>
      <c r="CF81" s="125">
        <v>0.80208333333333337</v>
      </c>
      <c r="CG81" s="206">
        <f>IF('Temperature Profiles'!AA80&lt;17,(-0.0076*'Temperature Profiles'!AA80+0.1245)*1000,0)</f>
        <v>83.966666666666669</v>
      </c>
      <c r="CH81" s="22"/>
      <c r="CI81" s="22"/>
      <c r="CJ81" s="22"/>
      <c r="CK81" s="22"/>
      <c r="CL81" s="22"/>
      <c r="CM81" s="125">
        <v>0.80208333333333337</v>
      </c>
      <c r="CN81" s="206">
        <f>IF('Temperature Profiles'!AF80&lt;17,(-0.0076*'Temperature Profiles'!AF80+0.1245)*1000,0)</f>
        <v>0</v>
      </c>
      <c r="CO81" s="22"/>
      <c r="CP81" s="22"/>
      <c r="CQ81" s="22"/>
      <c r="CR81" s="22"/>
      <c r="CS81" s="22"/>
      <c r="CT81" s="22"/>
      <c r="CU81" s="22"/>
      <c r="CV81" s="209"/>
      <c r="CX81" s="219"/>
      <c r="CY81" s="22"/>
      <c r="CZ81" s="22"/>
      <c r="DA81" s="22"/>
      <c r="DB81" s="22"/>
      <c r="DC81" s="22"/>
      <c r="DD81" s="22"/>
      <c r="DE81" s="22"/>
      <c r="DF81" s="22"/>
      <c r="DG81" s="22"/>
      <c r="DH81" s="22"/>
      <c r="DI81" s="22"/>
      <c r="DJ81" s="22"/>
      <c r="DK81" s="22"/>
      <c r="DL81" s="22"/>
      <c r="DM81" s="22"/>
      <c r="DN81" s="22"/>
      <c r="DO81" s="22"/>
      <c r="DP81" s="22"/>
      <c r="DQ81" s="22"/>
      <c r="DR81" s="22"/>
      <c r="DS81" s="22"/>
      <c r="DT81" s="22"/>
      <c r="DU81" s="22"/>
      <c r="DV81" s="22"/>
      <c r="DW81" s="22"/>
      <c r="DX81" s="22"/>
      <c r="DY81" s="22"/>
      <c r="DZ81" s="22"/>
      <c r="EA81" s="22"/>
      <c r="EB81" s="125">
        <v>0.80208333333333337</v>
      </c>
      <c r="EC81" s="241">
        <f>IF('Temperature Profiles'!AA80&gt;17,(0.0043*('Temperature Profiles'!AA80^2)-0.1116*'Temperature Profiles'!AA80+0.6576)*1000,IF('Temperature Profiles'!AA80&lt;17,(0.0053*('Temperature Profiles'!AA80^2)-0.1876*'Temperature Profiles'!AA80+1.7649)*1000,0))</f>
        <v>915.12222222222192</v>
      </c>
      <c r="ED81" s="22"/>
      <c r="EE81" s="22"/>
      <c r="EF81" s="22"/>
      <c r="EG81" s="22"/>
      <c r="EH81" s="22"/>
      <c r="EI81" s="125">
        <v>0.80208333333333337</v>
      </c>
      <c r="EJ81" s="243">
        <f>IF('Temperature Profiles'!AF80&gt;17,(0.0043*('Temperature Profiles'!AF80^2)-0.1116*'Temperature Profiles'!AF80+0.6576)*1000,IF('Temperature Profiles'!AF80&lt;17,(0.0053*('Temperature Profiles'!AF80^2)-0.1876*'Temperature Profiles'!AF80+1.7649)*1000,0))</f>
        <v>2095.5479999999993</v>
      </c>
      <c r="EK81" s="22"/>
      <c r="EL81" s="22"/>
      <c r="EM81" s="22"/>
      <c r="EN81" s="22"/>
      <c r="EO81" s="22"/>
      <c r="EP81" s="22"/>
      <c r="EQ81" s="22"/>
      <c r="ER81" s="209"/>
    </row>
    <row r="82" spans="1:148" x14ac:dyDescent="0.3">
      <c r="A82" s="123">
        <v>0.80208333333333337</v>
      </c>
      <c r="B82" s="259">
        <f t="shared" si="3"/>
        <v>0</v>
      </c>
      <c r="C82" s="22">
        <f t="shared" si="4"/>
        <v>0</v>
      </c>
      <c r="D82" s="21">
        <f t="shared" si="5"/>
        <v>0</v>
      </c>
      <c r="F82" s="219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125">
        <v>0.8125</v>
      </c>
      <c r="AK82" s="233">
        <f>IF('Temperature Profiles'!AA81&gt;17,(0.005*('Temperature Profiles'!AA81^2) - 0.1517*'Temperature Profiles'!AA81 + 1.1701)*1000,0)</f>
        <v>0</v>
      </c>
      <c r="AL82" s="22"/>
      <c r="AM82" s="22"/>
      <c r="AN82" s="22"/>
      <c r="AO82" s="22"/>
      <c r="AP82" s="22"/>
      <c r="AQ82" s="125">
        <v>0.8125</v>
      </c>
      <c r="AR82" s="211">
        <f>IF('Temperature Profiles'!AF81&gt;17,(0.005*('Temperature Profiles'!AF81^2) - 0.1517*'Temperature Profiles'!AF81 + 1.1702)*1000,0)</f>
        <v>2065.8200000000002</v>
      </c>
      <c r="AS82" s="22"/>
      <c r="AT82" s="22"/>
      <c r="AU82" s="22"/>
      <c r="AV82" s="22"/>
      <c r="AW82" s="22"/>
      <c r="AX82" s="22"/>
      <c r="AY82" s="22"/>
      <c r="AZ82" s="209"/>
      <c r="BB82" s="219"/>
      <c r="BC82" s="22"/>
      <c r="BD82" s="22"/>
      <c r="BE82" s="22"/>
      <c r="BF82" s="22"/>
      <c r="BG82" s="22"/>
      <c r="BH82" s="22"/>
      <c r="BI82" s="22"/>
      <c r="BJ82" s="22"/>
      <c r="BK82" s="22"/>
      <c r="BL82" s="22"/>
      <c r="BM82" s="22"/>
      <c r="BN82" s="22"/>
      <c r="BO82" s="22"/>
      <c r="BP82" s="22"/>
      <c r="BQ82" s="22"/>
      <c r="BR82" s="22"/>
      <c r="BS82" s="22"/>
      <c r="BT82" s="22"/>
      <c r="BU82" s="22"/>
      <c r="BV82" s="22"/>
      <c r="BW82" s="22"/>
      <c r="BX82" s="22"/>
      <c r="BY82" s="22"/>
      <c r="BZ82" s="22"/>
      <c r="CA82" s="22"/>
      <c r="CB82" s="22"/>
      <c r="CC82" s="22"/>
      <c r="CD82" s="22"/>
      <c r="CE82" s="22"/>
      <c r="CF82" s="125">
        <v>0.8125</v>
      </c>
      <c r="CG82" s="206">
        <f>IF('Temperature Profiles'!AA81&lt;17,(-0.0076*'Temperature Profiles'!AA81+0.1245)*1000,0)</f>
        <v>83.966666666666669</v>
      </c>
      <c r="CH82" s="22"/>
      <c r="CI82" s="22"/>
      <c r="CJ82" s="22"/>
      <c r="CK82" s="22"/>
      <c r="CL82" s="22"/>
      <c r="CM82" s="125">
        <v>0.8125</v>
      </c>
      <c r="CN82" s="206">
        <f>IF('Temperature Profiles'!AF81&lt;17,(-0.0076*'Temperature Profiles'!AF81+0.1245)*1000,0)</f>
        <v>0</v>
      </c>
      <c r="CO82" s="22"/>
      <c r="CP82" s="22"/>
      <c r="CQ82" s="22"/>
      <c r="CR82" s="22"/>
      <c r="CS82" s="22"/>
      <c r="CT82" s="22"/>
      <c r="CU82" s="22"/>
      <c r="CV82" s="209"/>
      <c r="CX82" s="219"/>
      <c r="CY82" s="22"/>
      <c r="CZ82" s="22"/>
      <c r="DA82" s="22"/>
      <c r="DB82" s="22"/>
      <c r="DC82" s="22"/>
      <c r="DD82" s="22"/>
      <c r="DE82" s="22"/>
      <c r="DF82" s="22"/>
      <c r="DG82" s="22"/>
      <c r="DH82" s="22"/>
      <c r="DI82" s="22"/>
      <c r="DJ82" s="22"/>
      <c r="DK82" s="22"/>
      <c r="DL82" s="22"/>
      <c r="DM82" s="22"/>
      <c r="DN82" s="22"/>
      <c r="DO82" s="22"/>
      <c r="DP82" s="22"/>
      <c r="DQ82" s="22"/>
      <c r="DR82" s="22"/>
      <c r="DS82" s="22"/>
      <c r="DT82" s="22"/>
      <c r="DU82" s="22"/>
      <c r="DV82" s="22"/>
      <c r="DW82" s="22"/>
      <c r="DX82" s="22"/>
      <c r="DY82" s="22"/>
      <c r="DZ82" s="22"/>
      <c r="EA82" s="22"/>
      <c r="EB82" s="125">
        <v>0.8125</v>
      </c>
      <c r="EC82" s="241">
        <f>IF('Temperature Profiles'!AA81&gt;17,(0.0043*('Temperature Profiles'!AA81^2)-0.1116*'Temperature Profiles'!AA81+0.6576)*1000,IF('Temperature Profiles'!AA81&lt;17,(0.0053*('Temperature Profiles'!AA81^2)-0.1876*'Temperature Profiles'!AA81+1.7649)*1000,0))</f>
        <v>915.12222222222192</v>
      </c>
      <c r="ED82" s="22"/>
      <c r="EE82" s="22"/>
      <c r="EF82" s="22"/>
      <c r="EG82" s="22"/>
      <c r="EH82" s="22"/>
      <c r="EI82" s="125">
        <v>0.8125</v>
      </c>
      <c r="EJ82" s="243">
        <f>IF('Temperature Profiles'!AF81&gt;17,(0.0043*('Temperature Profiles'!AF81^2)-0.1116*'Temperature Profiles'!AF81+0.6576)*1000,IF('Temperature Profiles'!AF81&lt;17,(0.0053*('Temperature Profiles'!AF81^2)-0.1876*'Temperature Profiles'!AF81+1.7649)*1000,0))</f>
        <v>2095.5479999999993</v>
      </c>
      <c r="EK82" s="22"/>
      <c r="EL82" s="22"/>
      <c r="EM82" s="22"/>
      <c r="EN82" s="22"/>
      <c r="EO82" s="22"/>
      <c r="EP82" s="22"/>
      <c r="EQ82" s="22"/>
      <c r="ER82" s="209"/>
    </row>
    <row r="83" spans="1:148" x14ac:dyDescent="0.3">
      <c r="A83" s="123">
        <v>0.8125</v>
      </c>
      <c r="B83" s="259">
        <f t="shared" si="3"/>
        <v>0</v>
      </c>
      <c r="C83" s="22">
        <f t="shared" si="4"/>
        <v>0</v>
      </c>
      <c r="D83" s="21">
        <f t="shared" si="5"/>
        <v>0</v>
      </c>
      <c r="F83" s="219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125">
        <v>0.82291666666666663</v>
      </c>
      <c r="AK83" s="233">
        <f>IF('Temperature Profiles'!AA82&gt;17,(0.005*('Temperature Profiles'!AA82^2) - 0.1517*'Temperature Profiles'!AA82 + 1.1701)*1000,0)</f>
        <v>0</v>
      </c>
      <c r="AL83" s="22"/>
      <c r="AM83" s="22"/>
      <c r="AN83" s="22"/>
      <c r="AO83" s="22"/>
      <c r="AP83" s="22"/>
      <c r="AQ83" s="125">
        <v>0.82291666666666663</v>
      </c>
      <c r="AR83" s="211">
        <f>IF('Temperature Profiles'!AF82&gt;17,(0.005*('Temperature Profiles'!AF82^2) - 0.1517*'Temperature Profiles'!AF82 + 1.1702)*1000,0)</f>
        <v>2065.8200000000002</v>
      </c>
      <c r="AS83" s="22"/>
      <c r="AT83" s="22"/>
      <c r="AU83" s="22"/>
      <c r="AV83" s="22"/>
      <c r="AW83" s="22"/>
      <c r="AX83" s="22"/>
      <c r="AY83" s="22"/>
      <c r="AZ83" s="209"/>
      <c r="BB83" s="219"/>
      <c r="BC83" s="22"/>
      <c r="BD83" s="22"/>
      <c r="BE83" s="22"/>
      <c r="BF83" s="22"/>
      <c r="BG83" s="22"/>
      <c r="BH83" s="22"/>
      <c r="BI83" s="22"/>
      <c r="BJ83" s="22"/>
      <c r="BK83" s="22"/>
      <c r="BL83" s="22"/>
      <c r="BM83" s="22"/>
      <c r="BN83" s="22"/>
      <c r="BO83" s="22"/>
      <c r="BP83" s="22"/>
      <c r="BQ83" s="22"/>
      <c r="BR83" s="22"/>
      <c r="BS83" s="22"/>
      <c r="BT83" s="22"/>
      <c r="BU83" s="22"/>
      <c r="BV83" s="22"/>
      <c r="BW83" s="22"/>
      <c r="BX83" s="22"/>
      <c r="BY83" s="22"/>
      <c r="BZ83" s="22"/>
      <c r="CA83" s="22"/>
      <c r="CB83" s="22"/>
      <c r="CC83" s="22"/>
      <c r="CD83" s="22"/>
      <c r="CE83" s="22"/>
      <c r="CF83" s="125">
        <v>0.82291666666666663</v>
      </c>
      <c r="CG83" s="206">
        <f>IF('Temperature Profiles'!AA82&lt;17,(-0.0076*'Temperature Profiles'!AA82+0.1245)*1000,0)</f>
        <v>83.966666666666669</v>
      </c>
      <c r="CH83" s="22"/>
      <c r="CI83" s="22"/>
      <c r="CJ83" s="22"/>
      <c r="CK83" s="22"/>
      <c r="CL83" s="22"/>
      <c r="CM83" s="125">
        <v>0.82291666666666663</v>
      </c>
      <c r="CN83" s="206">
        <f>IF('Temperature Profiles'!AF82&lt;17,(-0.0076*'Temperature Profiles'!AF82+0.1245)*1000,0)</f>
        <v>0</v>
      </c>
      <c r="CO83" s="22"/>
      <c r="CP83" s="22"/>
      <c r="CQ83" s="22"/>
      <c r="CR83" s="22"/>
      <c r="CS83" s="22"/>
      <c r="CT83" s="22"/>
      <c r="CU83" s="22"/>
      <c r="CV83" s="209"/>
      <c r="CX83" s="219"/>
      <c r="CY83" s="22"/>
      <c r="CZ83" s="22"/>
      <c r="DA83" s="22"/>
      <c r="DB83" s="22"/>
      <c r="DC83" s="22"/>
      <c r="DD83" s="22"/>
      <c r="DE83" s="22"/>
      <c r="DF83" s="22"/>
      <c r="DG83" s="22"/>
      <c r="DH83" s="22"/>
      <c r="DI83" s="22"/>
      <c r="DJ83" s="22"/>
      <c r="DK83" s="22"/>
      <c r="DL83" s="22"/>
      <c r="DM83" s="22"/>
      <c r="DN83" s="22"/>
      <c r="DO83" s="22"/>
      <c r="DP83" s="22"/>
      <c r="DQ83" s="22"/>
      <c r="DR83" s="22"/>
      <c r="DS83" s="22"/>
      <c r="DT83" s="22"/>
      <c r="DU83" s="22"/>
      <c r="DV83" s="22"/>
      <c r="DW83" s="22"/>
      <c r="DX83" s="22"/>
      <c r="DY83" s="22"/>
      <c r="DZ83" s="22"/>
      <c r="EA83" s="22"/>
      <c r="EB83" s="125">
        <v>0.82291666666666663</v>
      </c>
      <c r="EC83" s="241">
        <f>IF('Temperature Profiles'!AA82&gt;17,(0.0043*('Temperature Profiles'!AA82^2)-0.1116*'Temperature Profiles'!AA82+0.6576)*1000,IF('Temperature Profiles'!AA82&lt;17,(0.0053*('Temperature Profiles'!AA82^2)-0.1876*'Temperature Profiles'!AA82+1.7649)*1000,0))</f>
        <v>915.12222222222192</v>
      </c>
      <c r="ED83" s="22"/>
      <c r="EE83" s="22"/>
      <c r="EF83" s="22"/>
      <c r="EG83" s="22"/>
      <c r="EH83" s="22"/>
      <c r="EI83" s="125">
        <v>0.82291666666666663</v>
      </c>
      <c r="EJ83" s="243">
        <f>IF('Temperature Profiles'!AF82&gt;17,(0.0043*('Temperature Profiles'!AF82^2)-0.1116*'Temperature Profiles'!AF82+0.6576)*1000,IF('Temperature Profiles'!AF82&lt;17,(0.0053*('Temperature Profiles'!AF82^2)-0.1876*'Temperature Profiles'!AF82+1.7649)*1000,0))</f>
        <v>2095.5479999999993</v>
      </c>
      <c r="EK83" s="22"/>
      <c r="EL83" s="22"/>
      <c r="EM83" s="22"/>
      <c r="EN83" s="22"/>
      <c r="EO83" s="22"/>
      <c r="EP83" s="22"/>
      <c r="EQ83" s="22"/>
      <c r="ER83" s="209"/>
    </row>
    <row r="84" spans="1:148" x14ac:dyDescent="0.3">
      <c r="A84" s="123">
        <v>0.82291666666666663</v>
      </c>
      <c r="B84" s="259">
        <f t="shared" si="3"/>
        <v>0</v>
      </c>
      <c r="C84" s="22">
        <f t="shared" si="4"/>
        <v>0</v>
      </c>
      <c r="D84" s="21">
        <f t="shared" si="5"/>
        <v>0</v>
      </c>
      <c r="F84" s="219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125">
        <v>0.83333333333333337</v>
      </c>
      <c r="AK84" s="233">
        <f>IF('Temperature Profiles'!AA83&gt;17,(0.005*('Temperature Profiles'!AA83^2) - 0.1517*'Temperature Profiles'!AA83 + 1.1701)*1000,0)</f>
        <v>0</v>
      </c>
      <c r="AL84" s="22"/>
      <c r="AM84" s="22"/>
      <c r="AN84" s="22"/>
      <c r="AO84" s="22"/>
      <c r="AP84" s="22"/>
      <c r="AQ84" s="125">
        <v>0.83333333333333337</v>
      </c>
      <c r="AR84" s="211">
        <f>IF('Temperature Profiles'!AF83&gt;17,(0.005*('Temperature Profiles'!AF83^2) - 0.1517*'Temperature Profiles'!AF83 + 1.1702)*1000,0)</f>
        <v>2065.8200000000002</v>
      </c>
      <c r="AS84" s="22"/>
      <c r="AT84" s="22"/>
      <c r="AU84" s="22"/>
      <c r="AV84" s="22"/>
      <c r="AW84" s="22"/>
      <c r="AX84" s="22"/>
      <c r="AY84" s="22"/>
      <c r="AZ84" s="209"/>
      <c r="BB84" s="219"/>
      <c r="BC84" s="22"/>
      <c r="BD84" s="22"/>
      <c r="BE84" s="22"/>
      <c r="BF84" s="22"/>
      <c r="BG84" s="22"/>
      <c r="BH84" s="22"/>
      <c r="BI84" s="22"/>
      <c r="BJ84" s="22"/>
      <c r="BK84" s="22"/>
      <c r="BL84" s="22"/>
      <c r="BM84" s="22"/>
      <c r="BN84" s="22"/>
      <c r="BO84" s="22"/>
      <c r="BP84" s="22"/>
      <c r="BQ84" s="22"/>
      <c r="BR84" s="22"/>
      <c r="BS84" s="22"/>
      <c r="BT84" s="22"/>
      <c r="BU84" s="22"/>
      <c r="BV84" s="22"/>
      <c r="BW84" s="22"/>
      <c r="BX84" s="22"/>
      <c r="BY84" s="22"/>
      <c r="BZ84" s="22"/>
      <c r="CA84" s="22"/>
      <c r="CB84" s="22"/>
      <c r="CC84" s="22"/>
      <c r="CD84" s="22"/>
      <c r="CE84" s="22"/>
      <c r="CF84" s="125">
        <v>0.83333333333333337</v>
      </c>
      <c r="CG84" s="206">
        <f>IF('Temperature Profiles'!AA83&lt;17,(-0.0076*'Temperature Profiles'!AA83+0.1245)*1000,0)</f>
        <v>83.966666666666669</v>
      </c>
      <c r="CH84" s="22"/>
      <c r="CI84" s="22"/>
      <c r="CJ84" s="22"/>
      <c r="CK84" s="22"/>
      <c r="CL84" s="22"/>
      <c r="CM84" s="125">
        <v>0.83333333333333337</v>
      </c>
      <c r="CN84" s="206">
        <f>IF('Temperature Profiles'!AF83&lt;17,(-0.0076*'Temperature Profiles'!AF83+0.1245)*1000,0)</f>
        <v>0</v>
      </c>
      <c r="CO84" s="22"/>
      <c r="CP84" s="22"/>
      <c r="CQ84" s="22"/>
      <c r="CR84" s="22"/>
      <c r="CS84" s="22"/>
      <c r="CT84" s="22"/>
      <c r="CU84" s="22"/>
      <c r="CV84" s="209"/>
      <c r="CX84" s="219"/>
      <c r="CY84" s="22"/>
      <c r="CZ84" s="22"/>
      <c r="DA84" s="22"/>
      <c r="DB84" s="22"/>
      <c r="DC84" s="22"/>
      <c r="DD84" s="22"/>
      <c r="DE84" s="22"/>
      <c r="DF84" s="22"/>
      <c r="DG84" s="22"/>
      <c r="DH84" s="22"/>
      <c r="DI84" s="22"/>
      <c r="DJ84" s="22"/>
      <c r="DK84" s="22"/>
      <c r="DL84" s="22"/>
      <c r="DM84" s="22"/>
      <c r="DN84" s="22"/>
      <c r="DO84" s="22"/>
      <c r="DP84" s="22"/>
      <c r="DQ84" s="22"/>
      <c r="DR84" s="22"/>
      <c r="DS84" s="22"/>
      <c r="DT84" s="22"/>
      <c r="DU84" s="22"/>
      <c r="DV84" s="22"/>
      <c r="DW84" s="22"/>
      <c r="DX84" s="22"/>
      <c r="DY84" s="22"/>
      <c r="DZ84" s="22"/>
      <c r="EA84" s="22"/>
      <c r="EB84" s="125">
        <v>0.83333333333333337</v>
      </c>
      <c r="EC84" s="241">
        <f>IF('Temperature Profiles'!AA83&gt;17,(0.0043*('Temperature Profiles'!AA83^2)-0.1116*'Temperature Profiles'!AA83+0.6576)*1000,IF('Temperature Profiles'!AA83&lt;17,(0.0053*('Temperature Profiles'!AA83^2)-0.1876*'Temperature Profiles'!AA83+1.7649)*1000,0))</f>
        <v>915.12222222222192</v>
      </c>
      <c r="ED84" s="22"/>
      <c r="EE84" s="22"/>
      <c r="EF84" s="22"/>
      <c r="EG84" s="22"/>
      <c r="EH84" s="22"/>
      <c r="EI84" s="125">
        <v>0.83333333333333337</v>
      </c>
      <c r="EJ84" s="243">
        <f>IF('Temperature Profiles'!AF83&gt;17,(0.0043*('Temperature Profiles'!AF83^2)-0.1116*'Temperature Profiles'!AF83+0.6576)*1000,IF('Temperature Profiles'!AF83&lt;17,(0.0053*('Temperature Profiles'!AF83^2)-0.1876*'Temperature Profiles'!AF83+1.7649)*1000,0))</f>
        <v>2095.5479999999993</v>
      </c>
      <c r="EK84" s="22"/>
      <c r="EL84" s="22"/>
      <c r="EM84" s="22"/>
      <c r="EN84" s="22"/>
      <c r="EO84" s="22"/>
      <c r="EP84" s="22"/>
      <c r="EQ84" s="22"/>
      <c r="ER84" s="209"/>
    </row>
    <row r="85" spans="1:148" x14ac:dyDescent="0.3">
      <c r="A85" s="123">
        <v>0.83333333333333337</v>
      </c>
      <c r="B85" s="259">
        <f t="shared" si="3"/>
        <v>0</v>
      </c>
      <c r="C85" s="22">
        <f t="shared" si="4"/>
        <v>0</v>
      </c>
      <c r="D85" s="21">
        <f t="shared" si="5"/>
        <v>0</v>
      </c>
      <c r="F85" s="219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125">
        <v>0.84375</v>
      </c>
      <c r="AK85" s="233">
        <f>IF('Temperature Profiles'!AA84&gt;17,(0.005*('Temperature Profiles'!AA84^2) - 0.1517*'Temperature Profiles'!AA84 + 1.1701)*1000,0)</f>
        <v>0</v>
      </c>
      <c r="AL85" s="22"/>
      <c r="AM85" s="22"/>
      <c r="AN85" s="22"/>
      <c r="AO85" s="22"/>
      <c r="AP85" s="22"/>
      <c r="AQ85" s="125">
        <v>0.84375</v>
      </c>
      <c r="AR85" s="211">
        <f>IF('Temperature Profiles'!AF84&gt;17,(0.005*('Temperature Profiles'!AF84^2) - 0.1517*'Temperature Profiles'!AF84 + 1.1702)*1000,0)</f>
        <v>1830.2599999999995</v>
      </c>
      <c r="AS85" s="22"/>
      <c r="AT85" s="22"/>
      <c r="AU85" s="22"/>
      <c r="AV85" s="22"/>
      <c r="AW85" s="22"/>
      <c r="AX85" s="22"/>
      <c r="AY85" s="22"/>
      <c r="AZ85" s="209"/>
      <c r="BB85" s="219"/>
      <c r="BC85" s="22"/>
      <c r="BD85" s="22"/>
      <c r="BE85" s="22"/>
      <c r="BF85" s="22"/>
      <c r="BG85" s="22"/>
      <c r="BH85" s="22"/>
      <c r="BI85" s="22"/>
      <c r="BJ85" s="22"/>
      <c r="BK85" s="22"/>
      <c r="BL85" s="22"/>
      <c r="BM85" s="22"/>
      <c r="BN85" s="22"/>
      <c r="BO85" s="22"/>
      <c r="BP85" s="22"/>
      <c r="BQ85" s="22"/>
      <c r="BR85" s="22"/>
      <c r="BS85" s="22"/>
      <c r="BT85" s="22"/>
      <c r="BU85" s="22"/>
      <c r="BV85" s="22"/>
      <c r="BW85" s="22"/>
      <c r="BX85" s="22"/>
      <c r="BY85" s="22"/>
      <c r="BZ85" s="22"/>
      <c r="CA85" s="22"/>
      <c r="CB85" s="22"/>
      <c r="CC85" s="22"/>
      <c r="CD85" s="22"/>
      <c r="CE85" s="22"/>
      <c r="CF85" s="125">
        <v>0.84375</v>
      </c>
      <c r="CG85" s="206">
        <f>IF('Temperature Profiles'!AA84&lt;17,(-0.0076*'Temperature Profiles'!AA84+0.1245)*1000,0)</f>
        <v>86.943333333333314</v>
      </c>
      <c r="CH85" s="22"/>
      <c r="CI85" s="22"/>
      <c r="CJ85" s="22"/>
      <c r="CK85" s="22"/>
      <c r="CL85" s="22"/>
      <c r="CM85" s="125">
        <v>0.84375</v>
      </c>
      <c r="CN85" s="206">
        <f>IF('Temperature Profiles'!AF84&lt;17,(-0.0076*'Temperature Profiles'!AF84+0.1245)*1000,0)</f>
        <v>0</v>
      </c>
      <c r="CO85" s="22"/>
      <c r="CP85" s="22"/>
      <c r="CQ85" s="22"/>
      <c r="CR85" s="22"/>
      <c r="CS85" s="22"/>
      <c r="CT85" s="22"/>
      <c r="CU85" s="22"/>
      <c r="CV85" s="209"/>
      <c r="CX85" s="219"/>
      <c r="CY85" s="22"/>
      <c r="CZ85" s="22"/>
      <c r="DA85" s="22"/>
      <c r="DB85" s="22"/>
      <c r="DC85" s="22"/>
      <c r="DD85" s="22"/>
      <c r="DE85" s="22"/>
      <c r="DF85" s="22"/>
      <c r="DG85" s="22"/>
      <c r="DH85" s="22"/>
      <c r="DI85" s="22"/>
      <c r="DJ85" s="22"/>
      <c r="DK85" s="22"/>
      <c r="DL85" s="22"/>
      <c r="DM85" s="22"/>
      <c r="DN85" s="22"/>
      <c r="DO85" s="22"/>
      <c r="DP85" s="22"/>
      <c r="DQ85" s="22"/>
      <c r="DR85" s="22"/>
      <c r="DS85" s="22"/>
      <c r="DT85" s="22"/>
      <c r="DU85" s="22"/>
      <c r="DV85" s="22"/>
      <c r="DW85" s="22"/>
      <c r="DX85" s="22"/>
      <c r="DY85" s="22"/>
      <c r="DZ85" s="22"/>
      <c r="EA85" s="22"/>
      <c r="EB85" s="125">
        <v>0.84375</v>
      </c>
      <c r="EC85" s="241">
        <f>IF('Temperature Profiles'!AA84&gt;17,(0.0043*('Temperature Profiles'!AA84^2)-0.1116*'Temperature Profiles'!AA84+0.6576)*1000,IF('Temperature Profiles'!AA84&lt;17,(0.0053*('Temperature Profiles'!AA84^2)-0.1876*'Temperature Profiles'!AA84+1.7649)*1000,0))</f>
        <v>967.26970138888873</v>
      </c>
      <c r="ED85" s="22"/>
      <c r="EE85" s="22"/>
      <c r="EF85" s="22"/>
      <c r="EG85" s="22"/>
      <c r="EH85" s="22"/>
      <c r="EI85" s="125">
        <v>0.84375</v>
      </c>
      <c r="EJ85" s="243">
        <f>IF('Temperature Profiles'!AF84&gt;17,(0.0043*('Temperature Profiles'!AF84^2)-0.1116*'Temperature Profiles'!AF84+0.6576)*1000,IF('Temperature Profiles'!AF84&lt;17,(0.0053*('Temperature Profiles'!AF84^2)-0.1876*'Temperature Profiles'!AF84+1.7649)*1000,0))</f>
        <v>1870.3319999999994</v>
      </c>
      <c r="EK85" s="22"/>
      <c r="EL85" s="22"/>
      <c r="EM85" s="22"/>
      <c r="EN85" s="22"/>
      <c r="EO85" s="22"/>
      <c r="EP85" s="22"/>
      <c r="EQ85" s="22"/>
      <c r="ER85" s="209"/>
    </row>
    <row r="86" spans="1:148" x14ac:dyDescent="0.3">
      <c r="A86" s="123">
        <v>0.84375</v>
      </c>
      <c r="B86" s="259">
        <f t="shared" si="3"/>
        <v>0</v>
      </c>
      <c r="C86" s="22">
        <f t="shared" si="4"/>
        <v>0</v>
      </c>
      <c r="D86" s="21">
        <f t="shared" si="5"/>
        <v>0</v>
      </c>
      <c r="F86" s="219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125">
        <v>0.85416666666666663</v>
      </c>
      <c r="AK86" s="233">
        <f>IF('Temperature Profiles'!AA85&gt;17,(0.005*('Temperature Profiles'!AA85^2) - 0.1517*'Temperature Profiles'!AA85 + 1.1701)*1000,0)</f>
        <v>0</v>
      </c>
      <c r="AL86" s="22"/>
      <c r="AM86" s="22"/>
      <c r="AN86" s="22"/>
      <c r="AO86" s="22"/>
      <c r="AP86" s="22"/>
      <c r="AQ86" s="125">
        <v>0.85416666666666663</v>
      </c>
      <c r="AR86" s="211">
        <f>IF('Temperature Profiles'!AF85&gt;17,(0.005*('Temperature Profiles'!AF85^2) - 0.1517*'Temperature Profiles'!AF85 + 1.1702)*1000,0)</f>
        <v>1830.2599999999995</v>
      </c>
      <c r="AS86" s="22"/>
      <c r="AT86" s="22"/>
      <c r="AU86" s="22"/>
      <c r="AV86" s="22"/>
      <c r="AW86" s="22"/>
      <c r="AX86" s="22"/>
      <c r="AY86" s="22"/>
      <c r="AZ86" s="209"/>
      <c r="BB86" s="219"/>
      <c r="BC86" s="22"/>
      <c r="BD86" s="22"/>
      <c r="BE86" s="22"/>
      <c r="BF86" s="22"/>
      <c r="BG86" s="22"/>
      <c r="BH86" s="22"/>
      <c r="BI86" s="22"/>
      <c r="BJ86" s="22"/>
      <c r="BK86" s="22"/>
      <c r="BL86" s="22"/>
      <c r="BM86" s="22"/>
      <c r="BN86" s="22"/>
      <c r="BO86" s="22"/>
      <c r="BP86" s="22"/>
      <c r="BQ86" s="22"/>
      <c r="BR86" s="22"/>
      <c r="BS86" s="22"/>
      <c r="BT86" s="22"/>
      <c r="BU86" s="22"/>
      <c r="BV86" s="22"/>
      <c r="BW86" s="22"/>
      <c r="BX86" s="22"/>
      <c r="BY86" s="22"/>
      <c r="BZ86" s="22"/>
      <c r="CA86" s="22"/>
      <c r="CB86" s="22"/>
      <c r="CC86" s="22"/>
      <c r="CD86" s="22"/>
      <c r="CE86" s="22"/>
      <c r="CF86" s="125">
        <v>0.85416666666666663</v>
      </c>
      <c r="CG86" s="206">
        <f>IF('Temperature Profiles'!AA85&lt;17,(-0.0076*'Temperature Profiles'!AA85+0.1245)*1000,0)</f>
        <v>86.943333333333314</v>
      </c>
      <c r="CH86" s="22"/>
      <c r="CI86" s="22"/>
      <c r="CJ86" s="22"/>
      <c r="CK86" s="22"/>
      <c r="CL86" s="22"/>
      <c r="CM86" s="125">
        <v>0.85416666666666663</v>
      </c>
      <c r="CN86" s="206">
        <f>IF('Temperature Profiles'!AF85&lt;17,(-0.0076*'Temperature Profiles'!AF85+0.1245)*1000,0)</f>
        <v>0</v>
      </c>
      <c r="CO86" s="22"/>
      <c r="CP86" s="22"/>
      <c r="CQ86" s="22"/>
      <c r="CR86" s="22"/>
      <c r="CS86" s="22"/>
      <c r="CT86" s="22"/>
      <c r="CU86" s="22"/>
      <c r="CV86" s="209"/>
      <c r="CX86" s="219"/>
      <c r="CY86" s="22"/>
      <c r="CZ86" s="22"/>
      <c r="DA86" s="22"/>
      <c r="DB86" s="22"/>
      <c r="DC86" s="22"/>
      <c r="DD86" s="22"/>
      <c r="DE86" s="22"/>
      <c r="DF86" s="22"/>
      <c r="DG86" s="22"/>
      <c r="DH86" s="22"/>
      <c r="DI86" s="22"/>
      <c r="DJ86" s="22"/>
      <c r="DK86" s="22"/>
      <c r="DL86" s="22"/>
      <c r="DM86" s="22"/>
      <c r="DN86" s="22"/>
      <c r="DO86" s="22"/>
      <c r="DP86" s="22"/>
      <c r="DQ86" s="22"/>
      <c r="DR86" s="22"/>
      <c r="DS86" s="22"/>
      <c r="DT86" s="22"/>
      <c r="DU86" s="22"/>
      <c r="DV86" s="22"/>
      <c r="DW86" s="22"/>
      <c r="DX86" s="22"/>
      <c r="DY86" s="22"/>
      <c r="DZ86" s="22"/>
      <c r="EA86" s="22"/>
      <c r="EB86" s="125">
        <v>0.85416666666666663</v>
      </c>
      <c r="EC86" s="241">
        <f>IF('Temperature Profiles'!AA85&gt;17,(0.0043*('Temperature Profiles'!AA85^2)-0.1116*'Temperature Profiles'!AA85+0.6576)*1000,IF('Temperature Profiles'!AA85&lt;17,(0.0053*('Temperature Profiles'!AA85^2)-0.1876*'Temperature Profiles'!AA85+1.7649)*1000,0))</f>
        <v>967.26970138888873</v>
      </c>
      <c r="ED86" s="22"/>
      <c r="EE86" s="22"/>
      <c r="EF86" s="22"/>
      <c r="EG86" s="22"/>
      <c r="EH86" s="22"/>
      <c r="EI86" s="125">
        <v>0.85416666666666663</v>
      </c>
      <c r="EJ86" s="243">
        <f>IF('Temperature Profiles'!AF85&gt;17,(0.0043*('Temperature Profiles'!AF85^2)-0.1116*'Temperature Profiles'!AF85+0.6576)*1000,IF('Temperature Profiles'!AF85&lt;17,(0.0053*('Temperature Profiles'!AF85^2)-0.1876*'Temperature Profiles'!AF85+1.7649)*1000,0))</f>
        <v>1870.3319999999994</v>
      </c>
      <c r="EK86" s="22"/>
      <c r="EL86" s="22"/>
      <c r="EM86" s="22"/>
      <c r="EN86" s="22"/>
      <c r="EO86" s="22"/>
      <c r="EP86" s="22"/>
      <c r="EQ86" s="22"/>
      <c r="ER86" s="209"/>
    </row>
    <row r="87" spans="1:148" x14ac:dyDescent="0.3">
      <c r="A87" s="123">
        <v>0.85416666666666663</v>
      </c>
      <c r="B87" s="259">
        <f t="shared" si="3"/>
        <v>0</v>
      </c>
      <c r="C87" s="22">
        <f t="shared" si="4"/>
        <v>0</v>
      </c>
      <c r="D87" s="21">
        <f t="shared" si="5"/>
        <v>0</v>
      </c>
      <c r="F87" s="219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125">
        <v>0.86458333333333337</v>
      </c>
      <c r="AK87" s="233">
        <f>IF('Temperature Profiles'!AA86&gt;17,(0.005*('Temperature Profiles'!AA86^2) - 0.1517*'Temperature Profiles'!AA86 + 1.1701)*1000,0)</f>
        <v>0</v>
      </c>
      <c r="AL87" s="22"/>
      <c r="AM87" s="22"/>
      <c r="AN87" s="22"/>
      <c r="AO87" s="22"/>
      <c r="AP87" s="22"/>
      <c r="AQ87" s="125">
        <v>0.86458333333333337</v>
      </c>
      <c r="AR87" s="211">
        <f>IF('Temperature Profiles'!AF86&gt;17,(0.005*('Temperature Profiles'!AF86^2) - 0.1517*'Temperature Profiles'!AF86 + 1.1702)*1000,0)</f>
        <v>1830.2599999999995</v>
      </c>
      <c r="AS87" s="22"/>
      <c r="AT87" s="22"/>
      <c r="AU87" s="22"/>
      <c r="AV87" s="22"/>
      <c r="AW87" s="22"/>
      <c r="AX87" s="22"/>
      <c r="AY87" s="22"/>
      <c r="AZ87" s="209"/>
      <c r="BB87" s="219"/>
      <c r="BC87" s="22"/>
      <c r="BD87" s="22"/>
      <c r="BE87" s="22"/>
      <c r="BF87" s="22"/>
      <c r="BG87" s="22"/>
      <c r="BH87" s="22"/>
      <c r="BI87" s="22"/>
      <c r="BJ87" s="22"/>
      <c r="BK87" s="22"/>
      <c r="BL87" s="22"/>
      <c r="BM87" s="22"/>
      <c r="BN87" s="22"/>
      <c r="BO87" s="22"/>
      <c r="BP87" s="22"/>
      <c r="BQ87" s="22"/>
      <c r="BR87" s="22"/>
      <c r="BS87" s="22"/>
      <c r="BT87" s="22"/>
      <c r="BU87" s="22"/>
      <c r="BV87" s="22"/>
      <c r="BW87" s="22"/>
      <c r="BX87" s="22"/>
      <c r="BY87" s="22"/>
      <c r="BZ87" s="22"/>
      <c r="CA87" s="22"/>
      <c r="CB87" s="22"/>
      <c r="CC87" s="22"/>
      <c r="CD87" s="22"/>
      <c r="CE87" s="22"/>
      <c r="CF87" s="125">
        <v>0.86458333333333337</v>
      </c>
      <c r="CG87" s="206">
        <f>IF('Temperature Profiles'!AA86&lt;17,(-0.0076*'Temperature Profiles'!AA86+0.1245)*1000,0)</f>
        <v>86.943333333333314</v>
      </c>
      <c r="CH87" s="22"/>
      <c r="CI87" s="22"/>
      <c r="CJ87" s="22"/>
      <c r="CK87" s="22"/>
      <c r="CL87" s="22"/>
      <c r="CM87" s="125">
        <v>0.86458333333333337</v>
      </c>
      <c r="CN87" s="206">
        <f>IF('Temperature Profiles'!AF86&lt;17,(-0.0076*'Temperature Profiles'!AF86+0.1245)*1000,0)</f>
        <v>0</v>
      </c>
      <c r="CO87" s="22"/>
      <c r="CP87" s="22"/>
      <c r="CQ87" s="22"/>
      <c r="CR87" s="22"/>
      <c r="CS87" s="22"/>
      <c r="CT87" s="22"/>
      <c r="CU87" s="22"/>
      <c r="CV87" s="209"/>
      <c r="CX87" s="219"/>
      <c r="CY87" s="22"/>
      <c r="CZ87" s="22"/>
      <c r="DA87" s="22"/>
      <c r="DB87" s="22"/>
      <c r="DC87" s="22"/>
      <c r="DD87" s="22"/>
      <c r="DE87" s="22"/>
      <c r="DF87" s="22"/>
      <c r="DG87" s="22"/>
      <c r="DH87" s="22"/>
      <c r="DI87" s="22"/>
      <c r="DJ87" s="22"/>
      <c r="DK87" s="22"/>
      <c r="DL87" s="22"/>
      <c r="DM87" s="22"/>
      <c r="DN87" s="22"/>
      <c r="DO87" s="22"/>
      <c r="DP87" s="22"/>
      <c r="DQ87" s="22"/>
      <c r="DR87" s="22"/>
      <c r="DS87" s="22"/>
      <c r="DT87" s="22"/>
      <c r="DU87" s="22"/>
      <c r="DV87" s="22"/>
      <c r="DW87" s="22"/>
      <c r="DX87" s="22"/>
      <c r="DY87" s="22"/>
      <c r="DZ87" s="22"/>
      <c r="EA87" s="22"/>
      <c r="EB87" s="125">
        <v>0.86458333333333337</v>
      </c>
      <c r="EC87" s="241">
        <f>IF('Temperature Profiles'!AA86&gt;17,(0.0043*('Temperature Profiles'!AA86^2)-0.1116*'Temperature Profiles'!AA86+0.6576)*1000,IF('Temperature Profiles'!AA86&lt;17,(0.0053*('Temperature Profiles'!AA86^2)-0.1876*'Temperature Profiles'!AA86+1.7649)*1000,0))</f>
        <v>967.26970138888873</v>
      </c>
      <c r="ED87" s="22"/>
      <c r="EE87" s="22"/>
      <c r="EF87" s="22"/>
      <c r="EG87" s="22"/>
      <c r="EH87" s="22"/>
      <c r="EI87" s="125">
        <v>0.86458333333333337</v>
      </c>
      <c r="EJ87" s="243">
        <f>IF('Temperature Profiles'!AF86&gt;17,(0.0043*('Temperature Profiles'!AF86^2)-0.1116*'Temperature Profiles'!AF86+0.6576)*1000,IF('Temperature Profiles'!AF86&lt;17,(0.0053*('Temperature Profiles'!AF86^2)-0.1876*'Temperature Profiles'!AF86+1.7649)*1000,0))</f>
        <v>1870.3319999999994</v>
      </c>
      <c r="EK87" s="22"/>
      <c r="EL87" s="22"/>
      <c r="EM87" s="22"/>
      <c r="EN87" s="22"/>
      <c r="EO87" s="22"/>
      <c r="EP87" s="22"/>
      <c r="EQ87" s="22"/>
      <c r="ER87" s="209"/>
    </row>
    <row r="88" spans="1:148" x14ac:dyDescent="0.3">
      <c r="A88" s="123">
        <v>0.86458333333333337</v>
      </c>
      <c r="B88" s="259">
        <f t="shared" si="3"/>
        <v>0</v>
      </c>
      <c r="C88" s="22">
        <f t="shared" si="4"/>
        <v>0</v>
      </c>
      <c r="D88" s="21">
        <f t="shared" si="5"/>
        <v>0</v>
      </c>
      <c r="F88" s="219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125">
        <v>0.875</v>
      </c>
      <c r="AK88" s="233">
        <f>IF('Temperature Profiles'!AA87&gt;17,(0.005*('Temperature Profiles'!AA87^2) - 0.1517*'Temperature Profiles'!AA87 + 1.1701)*1000,0)</f>
        <v>0</v>
      </c>
      <c r="AL88" s="22"/>
      <c r="AM88" s="22"/>
      <c r="AN88" s="22"/>
      <c r="AO88" s="22"/>
      <c r="AP88" s="22"/>
      <c r="AQ88" s="125">
        <v>0.875</v>
      </c>
      <c r="AR88" s="211">
        <f>IF('Temperature Profiles'!AF87&gt;17,(0.005*('Temperature Profiles'!AF87^2) - 0.1517*'Temperature Profiles'!AF87 + 1.1702)*1000,0)</f>
        <v>1830.2599999999995</v>
      </c>
      <c r="AS88" s="22"/>
      <c r="AT88" s="22"/>
      <c r="AU88" s="22"/>
      <c r="AV88" s="22"/>
      <c r="AW88" s="22"/>
      <c r="AX88" s="22"/>
      <c r="AY88" s="22"/>
      <c r="AZ88" s="209"/>
      <c r="BB88" s="219"/>
      <c r="BC88" s="22"/>
      <c r="BD88" s="22"/>
      <c r="BE88" s="22"/>
      <c r="BF88" s="22"/>
      <c r="BG88" s="22"/>
      <c r="BH88" s="22"/>
      <c r="BI88" s="22"/>
      <c r="BJ88" s="22"/>
      <c r="BK88" s="22"/>
      <c r="BL88" s="22"/>
      <c r="BM88" s="22"/>
      <c r="BN88" s="22"/>
      <c r="BO88" s="22"/>
      <c r="BP88" s="22"/>
      <c r="BQ88" s="22"/>
      <c r="BR88" s="22"/>
      <c r="BS88" s="22"/>
      <c r="BT88" s="22"/>
      <c r="BU88" s="22"/>
      <c r="BV88" s="22"/>
      <c r="BW88" s="22"/>
      <c r="BX88" s="22"/>
      <c r="BY88" s="22"/>
      <c r="BZ88" s="22"/>
      <c r="CA88" s="22"/>
      <c r="CB88" s="22"/>
      <c r="CC88" s="22"/>
      <c r="CD88" s="22"/>
      <c r="CE88" s="22"/>
      <c r="CF88" s="125">
        <v>0.875</v>
      </c>
      <c r="CG88" s="206">
        <f>IF('Temperature Profiles'!AA87&lt;17,(-0.0076*'Temperature Profiles'!AA87+0.1245)*1000,0)</f>
        <v>86.943333333333314</v>
      </c>
      <c r="CH88" s="22"/>
      <c r="CI88" s="22"/>
      <c r="CJ88" s="22"/>
      <c r="CK88" s="22"/>
      <c r="CL88" s="22"/>
      <c r="CM88" s="125">
        <v>0.875</v>
      </c>
      <c r="CN88" s="206">
        <f>IF('Temperature Profiles'!AF87&lt;17,(-0.0076*'Temperature Profiles'!AF87+0.1245)*1000,0)</f>
        <v>0</v>
      </c>
      <c r="CO88" s="22"/>
      <c r="CP88" s="22"/>
      <c r="CQ88" s="22"/>
      <c r="CR88" s="22"/>
      <c r="CS88" s="22"/>
      <c r="CT88" s="22"/>
      <c r="CU88" s="22"/>
      <c r="CV88" s="209"/>
      <c r="CX88" s="219"/>
      <c r="CY88" s="22"/>
      <c r="CZ88" s="22"/>
      <c r="DA88" s="22"/>
      <c r="DB88" s="22"/>
      <c r="DC88" s="22"/>
      <c r="DD88" s="22"/>
      <c r="DE88" s="22"/>
      <c r="DF88" s="22"/>
      <c r="DG88" s="22"/>
      <c r="DH88" s="22"/>
      <c r="DI88" s="22"/>
      <c r="DJ88" s="22"/>
      <c r="DK88" s="22"/>
      <c r="DL88" s="22"/>
      <c r="DM88" s="22"/>
      <c r="DN88" s="22"/>
      <c r="DO88" s="22"/>
      <c r="DP88" s="22"/>
      <c r="DQ88" s="22"/>
      <c r="DR88" s="22"/>
      <c r="DS88" s="22"/>
      <c r="DT88" s="22"/>
      <c r="DU88" s="22"/>
      <c r="DV88" s="22"/>
      <c r="DW88" s="22"/>
      <c r="DX88" s="22"/>
      <c r="DY88" s="22"/>
      <c r="DZ88" s="22"/>
      <c r="EA88" s="22"/>
      <c r="EB88" s="125">
        <v>0.875</v>
      </c>
      <c r="EC88" s="241">
        <f>IF('Temperature Profiles'!AA87&gt;17,(0.0043*('Temperature Profiles'!AA87^2)-0.1116*'Temperature Profiles'!AA87+0.6576)*1000,IF('Temperature Profiles'!AA87&lt;17,(0.0053*('Temperature Profiles'!AA87^2)-0.1876*'Temperature Profiles'!AA87+1.7649)*1000,0))</f>
        <v>967.26970138888873</v>
      </c>
      <c r="ED88" s="22"/>
      <c r="EE88" s="22"/>
      <c r="EF88" s="22"/>
      <c r="EG88" s="22"/>
      <c r="EH88" s="22"/>
      <c r="EI88" s="125">
        <v>0.875</v>
      </c>
      <c r="EJ88" s="243">
        <f>IF('Temperature Profiles'!AF87&gt;17,(0.0043*('Temperature Profiles'!AF87^2)-0.1116*'Temperature Profiles'!AF87+0.6576)*1000,IF('Temperature Profiles'!AF87&lt;17,(0.0053*('Temperature Profiles'!AF87^2)-0.1876*'Temperature Profiles'!AF87+1.7649)*1000,0))</f>
        <v>1870.3319999999994</v>
      </c>
      <c r="EK88" s="22"/>
      <c r="EL88" s="22"/>
      <c r="EM88" s="22"/>
      <c r="EN88" s="22"/>
      <c r="EO88" s="22"/>
      <c r="EP88" s="22"/>
      <c r="EQ88" s="22"/>
      <c r="ER88" s="209"/>
    </row>
    <row r="89" spans="1:148" x14ac:dyDescent="0.3">
      <c r="A89" s="123">
        <v>0.875</v>
      </c>
      <c r="B89" s="259">
        <f t="shared" si="3"/>
        <v>0</v>
      </c>
      <c r="C89" s="22">
        <f t="shared" si="4"/>
        <v>0</v>
      </c>
      <c r="D89" s="21">
        <f t="shared" si="5"/>
        <v>0</v>
      </c>
      <c r="F89" s="219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125">
        <v>0.88541666666666663</v>
      </c>
      <c r="AK89" s="233">
        <f>IF('Temperature Profiles'!AA88&gt;17,(0.005*('Temperature Profiles'!AA88^2) - 0.1517*'Temperature Profiles'!AA88 + 1.1701)*1000,0)</f>
        <v>0</v>
      </c>
      <c r="AL89" s="22"/>
      <c r="AM89" s="22"/>
      <c r="AN89" s="22"/>
      <c r="AO89" s="22"/>
      <c r="AP89" s="22"/>
      <c r="AQ89" s="125">
        <v>0.88541666666666663</v>
      </c>
      <c r="AR89" s="211">
        <f>IF('Temperature Profiles'!AF88&gt;17,(0.005*('Temperature Profiles'!AF88^2) - 0.1517*'Temperature Profiles'!AF88 + 1.1702)*1000,0)</f>
        <v>1567.7688888888893</v>
      </c>
      <c r="AS89" s="22"/>
      <c r="AT89" s="22"/>
      <c r="AU89" s="22"/>
      <c r="AV89" s="22"/>
      <c r="AW89" s="22"/>
      <c r="AX89" s="22"/>
      <c r="AY89" s="22"/>
      <c r="AZ89" s="209"/>
      <c r="BB89" s="219"/>
      <c r="BC89" s="22"/>
      <c r="BD89" s="22"/>
      <c r="BE89" s="22"/>
      <c r="BF89" s="22"/>
      <c r="BG89" s="22"/>
      <c r="BH89" s="22"/>
      <c r="BI89" s="22"/>
      <c r="BJ89" s="22"/>
      <c r="BK89" s="22"/>
      <c r="BL89" s="22"/>
      <c r="BM89" s="22"/>
      <c r="BN89" s="22"/>
      <c r="BO89" s="22"/>
      <c r="BP89" s="22"/>
      <c r="BQ89" s="22"/>
      <c r="BR89" s="22"/>
      <c r="BS89" s="22"/>
      <c r="BT89" s="22"/>
      <c r="BU89" s="22"/>
      <c r="BV89" s="22"/>
      <c r="BW89" s="22"/>
      <c r="BX89" s="22"/>
      <c r="BY89" s="22"/>
      <c r="BZ89" s="22"/>
      <c r="CA89" s="22"/>
      <c r="CB89" s="22"/>
      <c r="CC89" s="22"/>
      <c r="CD89" s="22"/>
      <c r="CE89" s="22"/>
      <c r="CF89" s="125">
        <v>0.88541666666666663</v>
      </c>
      <c r="CG89" s="206">
        <f>IF('Temperature Profiles'!AA88&lt;17,(-0.0076*'Temperature Profiles'!AA88+0.1245)*1000,0)</f>
        <v>91.693333333333328</v>
      </c>
      <c r="CH89" s="22"/>
      <c r="CI89" s="22"/>
      <c r="CJ89" s="22"/>
      <c r="CK89" s="22"/>
      <c r="CL89" s="22"/>
      <c r="CM89" s="125">
        <v>0.88541666666666663</v>
      </c>
      <c r="CN89" s="206">
        <f>IF('Temperature Profiles'!AF88&lt;17,(-0.0076*'Temperature Profiles'!AF88+0.1245)*1000,0)</f>
        <v>0</v>
      </c>
      <c r="CO89" s="22"/>
      <c r="CP89" s="22"/>
      <c r="CQ89" s="22"/>
      <c r="CR89" s="22"/>
      <c r="CS89" s="22"/>
      <c r="CT89" s="22"/>
      <c r="CU89" s="22"/>
      <c r="CV89" s="209"/>
      <c r="CX89" s="219"/>
      <c r="CY89" s="22"/>
      <c r="CZ89" s="22"/>
      <c r="DA89" s="22"/>
      <c r="DB89" s="22"/>
      <c r="DC89" s="22"/>
      <c r="DD89" s="22"/>
      <c r="DE89" s="22"/>
      <c r="DF89" s="22"/>
      <c r="DG89" s="22"/>
      <c r="DH89" s="22"/>
      <c r="DI89" s="22"/>
      <c r="DJ89" s="22"/>
      <c r="DK89" s="22"/>
      <c r="DL89" s="22"/>
      <c r="DM89" s="22"/>
      <c r="DN89" s="22"/>
      <c r="DO89" s="22"/>
      <c r="DP89" s="22"/>
      <c r="DQ89" s="22"/>
      <c r="DR89" s="22"/>
      <c r="DS89" s="22"/>
      <c r="DT89" s="22"/>
      <c r="DU89" s="22"/>
      <c r="DV89" s="22"/>
      <c r="DW89" s="22"/>
      <c r="DX89" s="22"/>
      <c r="DY89" s="22"/>
      <c r="DZ89" s="22"/>
      <c r="EA89" s="22"/>
      <c r="EB89" s="125">
        <v>0.88541666666666663</v>
      </c>
      <c r="EC89" s="241">
        <f>IF('Temperature Profiles'!AA88&gt;17,(0.0043*('Temperature Profiles'!AA88^2)-0.1116*'Temperature Profiles'!AA88+0.6576)*1000,IF('Temperature Profiles'!AA88&lt;17,(0.0053*('Temperature Profiles'!AA88^2)-0.1876*'Temperature Profiles'!AA88+1.7649)*1000,0))</f>
        <v>1053.8514722222221</v>
      </c>
      <c r="ED89" s="22"/>
      <c r="EE89" s="22"/>
      <c r="EF89" s="22"/>
      <c r="EG89" s="22"/>
      <c r="EH89" s="22"/>
      <c r="EI89" s="125">
        <v>0.88541666666666663</v>
      </c>
      <c r="EJ89" s="243">
        <f>IF('Temperature Profiles'!AF88&gt;17,(0.0043*('Temperature Profiles'!AF88^2)-0.1116*'Temperature Profiles'!AF88+0.6576)*1000,IF('Temperature Profiles'!AF88&lt;17,(0.0053*('Temperature Profiles'!AF88^2)-0.1876*'Temperature Profiles'!AF88+1.7649)*1000,0))</f>
        <v>1617.5541111111124</v>
      </c>
      <c r="EK89" s="22"/>
      <c r="EL89" s="22"/>
      <c r="EM89" s="22"/>
      <c r="EN89" s="22"/>
      <c r="EO89" s="22"/>
      <c r="EP89" s="22"/>
      <c r="EQ89" s="22"/>
      <c r="ER89" s="209"/>
    </row>
    <row r="90" spans="1:148" x14ac:dyDescent="0.3">
      <c r="A90" s="123">
        <v>0.88541666666666663</v>
      </c>
      <c r="B90" s="259">
        <f t="shared" si="3"/>
        <v>0</v>
      </c>
      <c r="C90" s="22">
        <f t="shared" si="4"/>
        <v>0</v>
      </c>
      <c r="D90" s="21">
        <f t="shared" si="5"/>
        <v>0</v>
      </c>
      <c r="F90" s="219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125">
        <v>0.89583333333333337</v>
      </c>
      <c r="AK90" s="233">
        <f>IF('Temperature Profiles'!AA89&gt;17,(0.005*('Temperature Profiles'!AA89^2) - 0.1517*'Temperature Profiles'!AA89 + 1.1701)*1000,0)</f>
        <v>0</v>
      </c>
      <c r="AL90" s="22"/>
      <c r="AM90" s="22"/>
      <c r="AN90" s="22"/>
      <c r="AO90" s="22"/>
      <c r="AP90" s="22"/>
      <c r="AQ90" s="125">
        <v>0.89583333333333337</v>
      </c>
      <c r="AR90" s="211">
        <f>IF('Temperature Profiles'!AF89&gt;17,(0.005*('Temperature Profiles'!AF89^2) - 0.1517*'Temperature Profiles'!AF89 + 1.1702)*1000,0)</f>
        <v>1567.7688888888893</v>
      </c>
      <c r="AS90" s="22"/>
      <c r="AT90" s="22"/>
      <c r="AU90" s="22"/>
      <c r="AV90" s="22"/>
      <c r="AW90" s="22"/>
      <c r="AX90" s="22"/>
      <c r="AY90" s="22"/>
      <c r="AZ90" s="209"/>
      <c r="BB90" s="219"/>
      <c r="BC90" s="22"/>
      <c r="BD90" s="22"/>
      <c r="BE90" s="22"/>
      <c r="BF90" s="22"/>
      <c r="BG90" s="22"/>
      <c r="BH90" s="22"/>
      <c r="BI90" s="22"/>
      <c r="BJ90" s="22"/>
      <c r="BK90" s="22"/>
      <c r="BL90" s="22"/>
      <c r="BM90" s="22"/>
      <c r="BN90" s="22"/>
      <c r="BO90" s="22"/>
      <c r="BP90" s="22"/>
      <c r="BQ90" s="22"/>
      <c r="BR90" s="22"/>
      <c r="BS90" s="22"/>
      <c r="BT90" s="22"/>
      <c r="BU90" s="22"/>
      <c r="BV90" s="22"/>
      <c r="BW90" s="22"/>
      <c r="BX90" s="22"/>
      <c r="BY90" s="22"/>
      <c r="BZ90" s="22"/>
      <c r="CA90" s="22"/>
      <c r="CB90" s="22"/>
      <c r="CC90" s="22"/>
      <c r="CD90" s="22"/>
      <c r="CE90" s="22"/>
      <c r="CF90" s="125">
        <v>0.89583333333333337</v>
      </c>
      <c r="CG90" s="206">
        <f>IF('Temperature Profiles'!AA89&lt;17,(-0.0076*'Temperature Profiles'!AA89+0.1245)*1000,0)</f>
        <v>91.693333333333328</v>
      </c>
      <c r="CH90" s="22"/>
      <c r="CI90" s="22"/>
      <c r="CJ90" s="22"/>
      <c r="CK90" s="22"/>
      <c r="CL90" s="22"/>
      <c r="CM90" s="125">
        <v>0.89583333333333337</v>
      </c>
      <c r="CN90" s="206">
        <f>IF('Temperature Profiles'!AF89&lt;17,(-0.0076*'Temperature Profiles'!AF89+0.1245)*1000,0)</f>
        <v>0</v>
      </c>
      <c r="CO90" s="22"/>
      <c r="CP90" s="22"/>
      <c r="CQ90" s="22"/>
      <c r="CR90" s="22"/>
      <c r="CS90" s="22"/>
      <c r="CT90" s="22"/>
      <c r="CU90" s="22"/>
      <c r="CV90" s="209"/>
      <c r="CX90" s="219"/>
      <c r="CY90" s="22"/>
      <c r="CZ90" s="22"/>
      <c r="DA90" s="22"/>
      <c r="DB90" s="22"/>
      <c r="DC90" s="22"/>
      <c r="DD90" s="22"/>
      <c r="DE90" s="22"/>
      <c r="DF90" s="22"/>
      <c r="DG90" s="22"/>
      <c r="DH90" s="22"/>
      <c r="DI90" s="22"/>
      <c r="DJ90" s="22"/>
      <c r="DK90" s="22"/>
      <c r="DL90" s="22"/>
      <c r="DM90" s="22"/>
      <c r="DN90" s="22"/>
      <c r="DO90" s="22"/>
      <c r="DP90" s="22"/>
      <c r="DQ90" s="22"/>
      <c r="DR90" s="22"/>
      <c r="DS90" s="22"/>
      <c r="DT90" s="22"/>
      <c r="DU90" s="22"/>
      <c r="DV90" s="22"/>
      <c r="DW90" s="22"/>
      <c r="DX90" s="22"/>
      <c r="DY90" s="22"/>
      <c r="DZ90" s="22"/>
      <c r="EA90" s="22"/>
      <c r="EB90" s="125">
        <v>0.89583333333333337</v>
      </c>
      <c r="EC90" s="241">
        <f>IF('Temperature Profiles'!AA89&gt;17,(0.0043*('Temperature Profiles'!AA89^2)-0.1116*'Temperature Profiles'!AA89+0.6576)*1000,IF('Temperature Profiles'!AA89&lt;17,(0.0053*('Temperature Profiles'!AA89^2)-0.1876*'Temperature Profiles'!AA89+1.7649)*1000,0))</f>
        <v>1053.8514722222221</v>
      </c>
      <c r="ED90" s="22"/>
      <c r="EE90" s="22"/>
      <c r="EF90" s="22"/>
      <c r="EG90" s="22"/>
      <c r="EH90" s="22"/>
      <c r="EI90" s="125">
        <v>0.89583333333333337</v>
      </c>
      <c r="EJ90" s="243">
        <f>IF('Temperature Profiles'!AF89&gt;17,(0.0043*('Temperature Profiles'!AF89^2)-0.1116*'Temperature Profiles'!AF89+0.6576)*1000,IF('Temperature Profiles'!AF89&lt;17,(0.0053*('Temperature Profiles'!AF89^2)-0.1876*'Temperature Profiles'!AF89+1.7649)*1000,0))</f>
        <v>1617.5541111111124</v>
      </c>
      <c r="EK90" s="22"/>
      <c r="EL90" s="22"/>
      <c r="EM90" s="22"/>
      <c r="EN90" s="22"/>
      <c r="EO90" s="22"/>
      <c r="EP90" s="22"/>
      <c r="EQ90" s="22"/>
      <c r="ER90" s="209"/>
    </row>
    <row r="91" spans="1:148" x14ac:dyDescent="0.3">
      <c r="A91" s="123">
        <v>0.89583333333333337</v>
      </c>
      <c r="B91" s="259">
        <f t="shared" si="3"/>
        <v>0</v>
      </c>
      <c r="C91" s="22">
        <f t="shared" si="4"/>
        <v>0</v>
      </c>
      <c r="D91" s="21">
        <f t="shared" si="5"/>
        <v>0</v>
      </c>
      <c r="F91" s="219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125">
        <v>0.90625</v>
      </c>
      <c r="AK91" s="233">
        <f>IF('Temperature Profiles'!AA90&gt;17,(0.005*('Temperature Profiles'!AA90^2) - 0.1517*'Temperature Profiles'!AA90 + 1.1701)*1000,0)</f>
        <v>0</v>
      </c>
      <c r="AL91" s="22"/>
      <c r="AM91" s="22"/>
      <c r="AN91" s="22"/>
      <c r="AO91" s="22"/>
      <c r="AP91" s="22"/>
      <c r="AQ91" s="125">
        <v>0.90625</v>
      </c>
      <c r="AR91" s="211">
        <f>IF('Temperature Profiles'!AF90&gt;17,(0.005*('Temperature Profiles'!AF90^2) - 0.1517*'Temperature Profiles'!AF90 + 1.1702)*1000,0)</f>
        <v>1567.7688888888893</v>
      </c>
      <c r="AS91" s="22"/>
      <c r="AT91" s="22"/>
      <c r="AU91" s="22"/>
      <c r="AV91" s="22"/>
      <c r="AW91" s="22"/>
      <c r="AX91" s="22"/>
      <c r="AY91" s="22"/>
      <c r="AZ91" s="209"/>
      <c r="BB91" s="219"/>
      <c r="BC91" s="22"/>
      <c r="BD91" s="22"/>
      <c r="BE91" s="22"/>
      <c r="BF91" s="22"/>
      <c r="BG91" s="22"/>
      <c r="BH91" s="22"/>
      <c r="BI91" s="22"/>
      <c r="BJ91" s="22"/>
      <c r="BK91" s="22"/>
      <c r="BL91" s="22"/>
      <c r="BM91" s="22"/>
      <c r="BN91" s="22"/>
      <c r="BO91" s="22"/>
      <c r="BP91" s="22"/>
      <c r="BQ91" s="22"/>
      <c r="BR91" s="22"/>
      <c r="BS91" s="22"/>
      <c r="BT91" s="22"/>
      <c r="BU91" s="22"/>
      <c r="BV91" s="22"/>
      <c r="BW91" s="22"/>
      <c r="BX91" s="22"/>
      <c r="BY91" s="22"/>
      <c r="BZ91" s="22"/>
      <c r="CA91" s="22"/>
      <c r="CB91" s="22"/>
      <c r="CC91" s="22"/>
      <c r="CD91" s="22"/>
      <c r="CE91" s="22"/>
      <c r="CF91" s="125">
        <v>0.90625</v>
      </c>
      <c r="CG91" s="206">
        <f>IF('Temperature Profiles'!AA90&lt;17,(-0.0076*'Temperature Profiles'!AA90+0.1245)*1000,0)</f>
        <v>91.693333333333328</v>
      </c>
      <c r="CH91" s="22"/>
      <c r="CI91" s="22"/>
      <c r="CJ91" s="22"/>
      <c r="CK91" s="22"/>
      <c r="CL91" s="22"/>
      <c r="CM91" s="125">
        <v>0.90625</v>
      </c>
      <c r="CN91" s="206">
        <f>IF('Temperature Profiles'!AF90&lt;17,(-0.0076*'Temperature Profiles'!AF90+0.1245)*1000,0)</f>
        <v>0</v>
      </c>
      <c r="CO91" s="22"/>
      <c r="CP91" s="22"/>
      <c r="CQ91" s="22"/>
      <c r="CR91" s="22"/>
      <c r="CS91" s="22"/>
      <c r="CT91" s="22"/>
      <c r="CU91" s="22"/>
      <c r="CV91" s="209"/>
      <c r="CX91" s="219"/>
      <c r="CY91" s="22"/>
      <c r="CZ91" s="22"/>
      <c r="DA91" s="22"/>
      <c r="DB91" s="22"/>
      <c r="DC91" s="22"/>
      <c r="DD91" s="22"/>
      <c r="DE91" s="22"/>
      <c r="DF91" s="22"/>
      <c r="DG91" s="22"/>
      <c r="DH91" s="22"/>
      <c r="DI91" s="22"/>
      <c r="DJ91" s="22"/>
      <c r="DK91" s="22"/>
      <c r="DL91" s="22"/>
      <c r="DM91" s="22"/>
      <c r="DN91" s="22"/>
      <c r="DO91" s="22"/>
      <c r="DP91" s="22"/>
      <c r="DQ91" s="22"/>
      <c r="DR91" s="22"/>
      <c r="DS91" s="22"/>
      <c r="DT91" s="22"/>
      <c r="DU91" s="22"/>
      <c r="DV91" s="22"/>
      <c r="DW91" s="22"/>
      <c r="DX91" s="22"/>
      <c r="DY91" s="22"/>
      <c r="DZ91" s="22"/>
      <c r="EA91" s="22"/>
      <c r="EB91" s="125">
        <v>0.90625</v>
      </c>
      <c r="EC91" s="241">
        <f>IF('Temperature Profiles'!AA90&gt;17,(0.0043*('Temperature Profiles'!AA90^2)-0.1116*'Temperature Profiles'!AA90+0.6576)*1000,IF('Temperature Profiles'!AA90&lt;17,(0.0053*('Temperature Profiles'!AA90^2)-0.1876*'Temperature Profiles'!AA90+1.7649)*1000,0))</f>
        <v>1053.8514722222221</v>
      </c>
      <c r="ED91" s="22"/>
      <c r="EE91" s="22"/>
      <c r="EF91" s="22"/>
      <c r="EG91" s="22"/>
      <c r="EH91" s="22"/>
      <c r="EI91" s="125">
        <v>0.90625</v>
      </c>
      <c r="EJ91" s="243">
        <f>IF('Temperature Profiles'!AF90&gt;17,(0.0043*('Temperature Profiles'!AF90^2)-0.1116*'Temperature Profiles'!AF90+0.6576)*1000,IF('Temperature Profiles'!AF90&lt;17,(0.0053*('Temperature Profiles'!AF90^2)-0.1876*'Temperature Profiles'!AF90+1.7649)*1000,0))</f>
        <v>1617.5541111111124</v>
      </c>
      <c r="EK91" s="22"/>
      <c r="EL91" s="22"/>
      <c r="EM91" s="22"/>
      <c r="EN91" s="22"/>
      <c r="EO91" s="22"/>
      <c r="EP91" s="22"/>
      <c r="EQ91" s="22"/>
      <c r="ER91" s="209"/>
    </row>
    <row r="92" spans="1:148" x14ac:dyDescent="0.3">
      <c r="A92" s="123">
        <v>0.90625</v>
      </c>
      <c r="B92" s="259">
        <f t="shared" si="3"/>
        <v>0</v>
      </c>
      <c r="C92" s="22">
        <f t="shared" si="4"/>
        <v>0</v>
      </c>
      <c r="D92" s="21">
        <f t="shared" si="5"/>
        <v>0</v>
      </c>
      <c r="F92" s="219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125">
        <v>0.91666666666666663</v>
      </c>
      <c r="AK92" s="233">
        <f>IF('Temperature Profiles'!AA91&gt;17,(0.005*('Temperature Profiles'!AA91^2) - 0.1517*'Temperature Profiles'!AA91 + 1.1701)*1000,0)</f>
        <v>0</v>
      </c>
      <c r="AL92" s="22"/>
      <c r="AM92" s="22"/>
      <c r="AN92" s="22"/>
      <c r="AO92" s="22"/>
      <c r="AP92" s="22"/>
      <c r="AQ92" s="125">
        <v>0.91666666666666663</v>
      </c>
      <c r="AR92" s="211">
        <f>IF('Temperature Profiles'!AF91&gt;17,(0.005*('Temperature Profiles'!AF91^2) - 0.1517*'Temperature Profiles'!AF91 + 1.1702)*1000,0)</f>
        <v>1567.7688888888893</v>
      </c>
      <c r="AS92" s="22"/>
      <c r="AT92" s="22"/>
      <c r="AU92" s="22"/>
      <c r="AV92" s="22"/>
      <c r="AW92" s="22"/>
      <c r="AX92" s="22"/>
      <c r="AY92" s="22"/>
      <c r="AZ92" s="209"/>
      <c r="BB92" s="219"/>
      <c r="BC92" s="22"/>
      <c r="BD92" s="22"/>
      <c r="BE92" s="22"/>
      <c r="BF92" s="22"/>
      <c r="BG92" s="22"/>
      <c r="BH92" s="22"/>
      <c r="BI92" s="22"/>
      <c r="BJ92" s="22"/>
      <c r="BK92" s="22"/>
      <c r="BL92" s="22"/>
      <c r="BM92" s="22"/>
      <c r="BN92" s="22"/>
      <c r="BO92" s="22"/>
      <c r="BP92" s="22"/>
      <c r="BQ92" s="22"/>
      <c r="BR92" s="22"/>
      <c r="BS92" s="22"/>
      <c r="BT92" s="22"/>
      <c r="BU92" s="22"/>
      <c r="BV92" s="22"/>
      <c r="BW92" s="22"/>
      <c r="BX92" s="22"/>
      <c r="BY92" s="22"/>
      <c r="BZ92" s="22"/>
      <c r="CA92" s="22"/>
      <c r="CB92" s="22"/>
      <c r="CC92" s="22"/>
      <c r="CD92" s="22"/>
      <c r="CE92" s="22"/>
      <c r="CF92" s="125">
        <v>0.91666666666666663</v>
      </c>
      <c r="CG92" s="206">
        <f>IF('Temperature Profiles'!AA91&lt;17,(-0.0076*'Temperature Profiles'!AA91+0.1245)*1000,0)</f>
        <v>91.693333333333328</v>
      </c>
      <c r="CH92" s="22"/>
      <c r="CI92" s="22"/>
      <c r="CJ92" s="22"/>
      <c r="CK92" s="22"/>
      <c r="CL92" s="22"/>
      <c r="CM92" s="125">
        <v>0.91666666666666663</v>
      </c>
      <c r="CN92" s="206">
        <f>IF('Temperature Profiles'!AF91&lt;17,(-0.0076*'Temperature Profiles'!AF91+0.1245)*1000,0)</f>
        <v>0</v>
      </c>
      <c r="CO92" s="22"/>
      <c r="CP92" s="22"/>
      <c r="CQ92" s="22"/>
      <c r="CR92" s="22"/>
      <c r="CS92" s="22"/>
      <c r="CT92" s="22"/>
      <c r="CU92" s="22"/>
      <c r="CV92" s="209"/>
      <c r="CX92" s="219"/>
      <c r="CY92" s="22"/>
      <c r="CZ92" s="22"/>
      <c r="DA92" s="22"/>
      <c r="DB92" s="22"/>
      <c r="DC92" s="22"/>
      <c r="DD92" s="22"/>
      <c r="DE92" s="22"/>
      <c r="DF92" s="22"/>
      <c r="DG92" s="22"/>
      <c r="DH92" s="22"/>
      <c r="DI92" s="22"/>
      <c r="DJ92" s="22"/>
      <c r="DK92" s="22"/>
      <c r="DL92" s="22"/>
      <c r="DM92" s="22"/>
      <c r="DN92" s="22"/>
      <c r="DO92" s="22"/>
      <c r="DP92" s="22"/>
      <c r="DQ92" s="22"/>
      <c r="DR92" s="22"/>
      <c r="DS92" s="22"/>
      <c r="DT92" s="22"/>
      <c r="DU92" s="22"/>
      <c r="DV92" s="22"/>
      <c r="DW92" s="22"/>
      <c r="DX92" s="22"/>
      <c r="DY92" s="22"/>
      <c r="DZ92" s="22"/>
      <c r="EA92" s="22"/>
      <c r="EB92" s="125">
        <v>0.91666666666666663</v>
      </c>
      <c r="EC92" s="241">
        <f>IF('Temperature Profiles'!AA91&gt;17,(0.0043*('Temperature Profiles'!AA91^2)-0.1116*'Temperature Profiles'!AA91+0.6576)*1000,IF('Temperature Profiles'!AA91&lt;17,(0.0053*('Temperature Profiles'!AA91^2)-0.1876*'Temperature Profiles'!AA91+1.7649)*1000,0))</f>
        <v>1053.8514722222221</v>
      </c>
      <c r="ED92" s="22"/>
      <c r="EE92" s="22"/>
      <c r="EF92" s="22"/>
      <c r="EG92" s="22"/>
      <c r="EH92" s="22"/>
      <c r="EI92" s="125">
        <v>0.91666666666666663</v>
      </c>
      <c r="EJ92" s="243">
        <f>IF('Temperature Profiles'!AF91&gt;17,(0.0043*('Temperature Profiles'!AF91^2)-0.1116*'Temperature Profiles'!AF91+0.6576)*1000,IF('Temperature Profiles'!AF91&lt;17,(0.0053*('Temperature Profiles'!AF91^2)-0.1876*'Temperature Profiles'!AF91+1.7649)*1000,0))</f>
        <v>1617.5541111111124</v>
      </c>
      <c r="EK92" s="22"/>
      <c r="EL92" s="22"/>
      <c r="EM92" s="22"/>
      <c r="EN92" s="22"/>
      <c r="EO92" s="22"/>
      <c r="EP92" s="22"/>
      <c r="EQ92" s="22"/>
      <c r="ER92" s="209"/>
    </row>
    <row r="93" spans="1:148" x14ac:dyDescent="0.3">
      <c r="A93" s="123">
        <v>0.91666666666666663</v>
      </c>
      <c r="B93" s="259">
        <f t="shared" si="3"/>
        <v>0</v>
      </c>
      <c r="C93" s="22">
        <f t="shared" si="4"/>
        <v>0</v>
      </c>
      <c r="D93" s="21">
        <f t="shared" si="5"/>
        <v>0</v>
      </c>
      <c r="F93" s="219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125">
        <v>0.92708333333333337</v>
      </c>
      <c r="AK93" s="233">
        <f>IF('Temperature Profiles'!AA92&gt;17,(0.005*('Temperature Profiles'!AA92^2) - 0.1517*'Temperature Profiles'!AA92 + 1.1701)*1000,0)</f>
        <v>0</v>
      </c>
      <c r="AL93" s="22"/>
      <c r="AM93" s="22"/>
      <c r="AN93" s="22"/>
      <c r="AO93" s="22"/>
      <c r="AP93" s="22"/>
      <c r="AQ93" s="125">
        <v>0.92708333333333337</v>
      </c>
      <c r="AR93" s="211">
        <f>IF('Temperature Profiles'!AF92&gt;17,(0.005*('Temperature Profiles'!AF92^2) - 0.1517*'Temperature Profiles'!AF92 + 1.1702)*1000,0)</f>
        <v>1346.1045138888887</v>
      </c>
      <c r="AS93" s="22"/>
      <c r="AT93" s="22"/>
      <c r="AU93" s="22"/>
      <c r="AV93" s="22"/>
      <c r="AW93" s="22"/>
      <c r="AX93" s="22"/>
      <c r="AY93" s="22"/>
      <c r="AZ93" s="209"/>
      <c r="BB93" s="219"/>
      <c r="BC93" s="22"/>
      <c r="BD93" s="22"/>
      <c r="BE93" s="22"/>
      <c r="BF93" s="22"/>
      <c r="BG93" s="22"/>
      <c r="BH93" s="22"/>
      <c r="BI93" s="22"/>
      <c r="BJ93" s="22"/>
      <c r="BK93" s="22"/>
      <c r="BL93" s="22"/>
      <c r="BM93" s="22"/>
      <c r="BN93" s="22"/>
      <c r="BO93" s="22"/>
      <c r="BP93" s="22"/>
      <c r="BQ93" s="22"/>
      <c r="BR93" s="22"/>
      <c r="BS93" s="22"/>
      <c r="BT93" s="22"/>
      <c r="BU93" s="22"/>
      <c r="BV93" s="22"/>
      <c r="BW93" s="22"/>
      <c r="BX93" s="22"/>
      <c r="BY93" s="22"/>
      <c r="BZ93" s="22"/>
      <c r="CA93" s="22"/>
      <c r="CB93" s="22"/>
      <c r="CC93" s="22"/>
      <c r="CD93" s="22"/>
      <c r="CE93" s="22"/>
      <c r="CF93" s="125">
        <v>0.92708333333333337</v>
      </c>
      <c r="CG93" s="206">
        <f>IF('Temperature Profiles'!AA92&lt;17,(-0.0076*'Temperature Profiles'!AA92+0.1245)*1000,0)</f>
        <v>94.859999999999985</v>
      </c>
      <c r="CH93" s="22"/>
      <c r="CI93" s="22"/>
      <c r="CJ93" s="22"/>
      <c r="CK93" s="22"/>
      <c r="CL93" s="22"/>
      <c r="CM93" s="125">
        <v>0.92708333333333337</v>
      </c>
      <c r="CN93" s="206">
        <f>IF('Temperature Profiles'!AF92&lt;17,(-0.0076*'Temperature Profiles'!AF92+0.1245)*1000,0)</f>
        <v>0</v>
      </c>
      <c r="CO93" s="22"/>
      <c r="CP93" s="22"/>
      <c r="CQ93" s="22"/>
      <c r="CR93" s="22"/>
      <c r="CS93" s="22"/>
      <c r="CT93" s="22"/>
      <c r="CU93" s="22"/>
      <c r="CV93" s="209"/>
      <c r="CX93" s="219"/>
      <c r="CY93" s="22"/>
      <c r="CZ93" s="22"/>
      <c r="DA93" s="22"/>
      <c r="DB93" s="22"/>
      <c r="DC93" s="22"/>
      <c r="DD93" s="22"/>
      <c r="DE93" s="22"/>
      <c r="DF93" s="22"/>
      <c r="DG93" s="22"/>
      <c r="DH93" s="22"/>
      <c r="DI93" s="22"/>
      <c r="DJ93" s="22"/>
      <c r="DK93" s="22"/>
      <c r="DL93" s="22"/>
      <c r="DM93" s="22"/>
      <c r="DN93" s="22"/>
      <c r="DO93" s="22"/>
      <c r="DP93" s="22"/>
      <c r="DQ93" s="22"/>
      <c r="DR93" s="22"/>
      <c r="DS93" s="22"/>
      <c r="DT93" s="22"/>
      <c r="DU93" s="22"/>
      <c r="DV93" s="22"/>
      <c r="DW93" s="22"/>
      <c r="DX93" s="22"/>
      <c r="DY93" s="22"/>
      <c r="DZ93" s="22"/>
      <c r="EA93" s="22"/>
      <c r="EB93" s="125">
        <v>0.92708333333333337</v>
      </c>
      <c r="EC93" s="241">
        <f>IF('Temperature Profiles'!AA92&gt;17,(0.0043*('Temperature Profiles'!AA92^2)-0.1116*'Temperature Profiles'!AA92+0.6576)*1000,IF('Temperature Profiles'!AA92&lt;17,(0.0053*('Temperature Profiles'!AA92^2)-0.1876*'Temperature Profiles'!AA92+1.7649)*1000,0))</f>
        <v>1113.8729999999994</v>
      </c>
      <c r="ED93" s="22"/>
      <c r="EE93" s="22"/>
      <c r="EF93" s="22"/>
      <c r="EG93" s="22"/>
      <c r="EH93" s="22"/>
      <c r="EI93" s="125">
        <v>0.92708333333333337</v>
      </c>
      <c r="EJ93" s="243">
        <f>IF('Temperature Profiles'!AF92&gt;17,(0.0043*('Temperature Profiles'!AF92^2)-0.1116*'Temperature Profiles'!AF92+0.6576)*1000,IF('Temperature Profiles'!AF92&lt;17,(0.0053*('Temperature Profiles'!AF92^2)-0.1876*'Temperature Profiles'!AF92+1.7649)*1000,0))</f>
        <v>1402.2449652777782</v>
      </c>
      <c r="EK93" s="22"/>
      <c r="EL93" s="22"/>
      <c r="EM93" s="22"/>
      <c r="EN93" s="22"/>
      <c r="EO93" s="22"/>
      <c r="EP93" s="22"/>
      <c r="EQ93" s="22"/>
      <c r="ER93" s="209"/>
    </row>
    <row r="94" spans="1:148" x14ac:dyDescent="0.3">
      <c r="A94" s="123">
        <v>0.92708333333333337</v>
      </c>
      <c r="B94" s="259">
        <f t="shared" si="3"/>
        <v>0</v>
      </c>
      <c r="C94" s="22">
        <f t="shared" si="4"/>
        <v>0</v>
      </c>
      <c r="D94" s="21">
        <f t="shared" si="5"/>
        <v>0</v>
      </c>
      <c r="F94" s="219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125">
        <v>0.9375</v>
      </c>
      <c r="AK94" s="233">
        <f>IF('Temperature Profiles'!AA93&gt;17,(0.005*('Temperature Profiles'!AA93^2) - 0.1517*'Temperature Profiles'!AA93 + 1.1701)*1000,0)</f>
        <v>0</v>
      </c>
      <c r="AL94" s="22"/>
      <c r="AM94" s="22"/>
      <c r="AN94" s="22"/>
      <c r="AO94" s="22"/>
      <c r="AP94" s="22"/>
      <c r="AQ94" s="125">
        <v>0.9375</v>
      </c>
      <c r="AR94" s="211">
        <f>IF('Temperature Profiles'!AF93&gt;17,(0.005*('Temperature Profiles'!AF93^2) - 0.1517*'Temperature Profiles'!AF93 + 1.1702)*1000,0)</f>
        <v>1346.1045138888887</v>
      </c>
      <c r="AS94" s="22"/>
      <c r="AT94" s="22"/>
      <c r="AU94" s="22"/>
      <c r="AV94" s="22"/>
      <c r="AW94" s="22"/>
      <c r="AX94" s="22"/>
      <c r="AY94" s="22"/>
      <c r="AZ94" s="209"/>
      <c r="BB94" s="219"/>
      <c r="BC94" s="22"/>
      <c r="BD94" s="22"/>
      <c r="BE94" s="22"/>
      <c r="BF94" s="22"/>
      <c r="BG94" s="22"/>
      <c r="BH94" s="22"/>
      <c r="BI94" s="22"/>
      <c r="BJ94" s="22"/>
      <c r="BK94" s="22"/>
      <c r="BL94" s="22"/>
      <c r="BM94" s="22"/>
      <c r="BN94" s="22"/>
      <c r="BO94" s="22"/>
      <c r="BP94" s="22"/>
      <c r="BQ94" s="22"/>
      <c r="BR94" s="22"/>
      <c r="BS94" s="22"/>
      <c r="BT94" s="22"/>
      <c r="BU94" s="22"/>
      <c r="BV94" s="22"/>
      <c r="BW94" s="22"/>
      <c r="BX94" s="22"/>
      <c r="BY94" s="22"/>
      <c r="BZ94" s="22"/>
      <c r="CA94" s="22"/>
      <c r="CB94" s="22"/>
      <c r="CC94" s="22"/>
      <c r="CD94" s="22"/>
      <c r="CE94" s="22"/>
      <c r="CF94" s="125">
        <v>0.9375</v>
      </c>
      <c r="CG94" s="206">
        <f>IF('Temperature Profiles'!AA93&lt;17,(-0.0076*'Temperature Profiles'!AA93+0.1245)*1000,0)</f>
        <v>94.859999999999985</v>
      </c>
      <c r="CH94" s="22"/>
      <c r="CI94" s="22"/>
      <c r="CJ94" s="22"/>
      <c r="CK94" s="22"/>
      <c r="CL94" s="22"/>
      <c r="CM94" s="125">
        <v>0.9375</v>
      </c>
      <c r="CN94" s="206">
        <f>IF('Temperature Profiles'!AF93&lt;17,(-0.0076*'Temperature Profiles'!AF93+0.1245)*1000,0)</f>
        <v>0</v>
      </c>
      <c r="CO94" s="22"/>
      <c r="CP94" s="22"/>
      <c r="CQ94" s="22"/>
      <c r="CR94" s="22"/>
      <c r="CS94" s="22"/>
      <c r="CT94" s="22"/>
      <c r="CU94" s="22"/>
      <c r="CV94" s="209"/>
      <c r="CX94" s="219"/>
      <c r="CY94" s="22"/>
      <c r="CZ94" s="22"/>
      <c r="DA94" s="22"/>
      <c r="DB94" s="22"/>
      <c r="DC94" s="22"/>
      <c r="DD94" s="22"/>
      <c r="DE94" s="22"/>
      <c r="DF94" s="22"/>
      <c r="DG94" s="22"/>
      <c r="DH94" s="22"/>
      <c r="DI94" s="22"/>
      <c r="DJ94" s="22"/>
      <c r="DK94" s="22"/>
      <c r="DL94" s="22"/>
      <c r="DM94" s="22"/>
      <c r="DN94" s="22"/>
      <c r="DO94" s="22"/>
      <c r="DP94" s="22"/>
      <c r="DQ94" s="22"/>
      <c r="DR94" s="22"/>
      <c r="DS94" s="22"/>
      <c r="DT94" s="22"/>
      <c r="DU94" s="22"/>
      <c r="DV94" s="22"/>
      <c r="DW94" s="22"/>
      <c r="DX94" s="22"/>
      <c r="DY94" s="22"/>
      <c r="DZ94" s="22"/>
      <c r="EA94" s="22"/>
      <c r="EB94" s="125">
        <v>0.9375</v>
      </c>
      <c r="EC94" s="241">
        <f>IF('Temperature Profiles'!AA93&gt;17,(0.0043*('Temperature Profiles'!AA93^2)-0.1116*'Temperature Profiles'!AA93+0.6576)*1000,IF('Temperature Profiles'!AA93&lt;17,(0.0053*('Temperature Profiles'!AA93^2)-0.1876*'Temperature Profiles'!AA93+1.7649)*1000,0))</f>
        <v>1113.8729999999994</v>
      </c>
      <c r="ED94" s="22"/>
      <c r="EE94" s="22"/>
      <c r="EF94" s="22"/>
      <c r="EG94" s="22"/>
      <c r="EH94" s="22"/>
      <c r="EI94" s="125">
        <v>0.9375</v>
      </c>
      <c r="EJ94" s="243">
        <f>IF('Temperature Profiles'!AF93&gt;17,(0.0043*('Temperature Profiles'!AF93^2)-0.1116*'Temperature Profiles'!AF93+0.6576)*1000,IF('Temperature Profiles'!AF93&lt;17,(0.0053*('Temperature Profiles'!AF93^2)-0.1876*'Temperature Profiles'!AF93+1.7649)*1000,0))</f>
        <v>1402.2449652777782</v>
      </c>
      <c r="EK94" s="22"/>
      <c r="EL94" s="22"/>
      <c r="EM94" s="22"/>
      <c r="EN94" s="22"/>
      <c r="EO94" s="22"/>
      <c r="EP94" s="22"/>
      <c r="EQ94" s="22"/>
      <c r="ER94" s="209"/>
    </row>
    <row r="95" spans="1:148" x14ac:dyDescent="0.3">
      <c r="A95" s="123">
        <v>0.9375</v>
      </c>
      <c r="B95" s="259">
        <f t="shared" si="3"/>
        <v>0</v>
      </c>
      <c r="C95" s="22">
        <f t="shared" si="4"/>
        <v>0</v>
      </c>
      <c r="D95" s="21">
        <f t="shared" si="5"/>
        <v>0</v>
      </c>
      <c r="F95" s="219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125">
        <v>0.94791666666666663</v>
      </c>
      <c r="AK95" s="233">
        <f>IF('Temperature Profiles'!AA94&gt;17,(0.005*('Temperature Profiles'!AA94^2) - 0.1517*'Temperature Profiles'!AA94 + 1.1701)*1000,0)</f>
        <v>0</v>
      </c>
      <c r="AL95" s="22"/>
      <c r="AM95" s="22"/>
      <c r="AN95" s="22"/>
      <c r="AO95" s="22"/>
      <c r="AP95" s="22"/>
      <c r="AQ95" s="125">
        <v>0.94791666666666663</v>
      </c>
      <c r="AR95" s="211">
        <f>IF('Temperature Profiles'!AF94&gt;17,(0.005*('Temperature Profiles'!AF94^2) - 0.1517*'Temperature Profiles'!AF94 + 1.1702)*1000,0)</f>
        <v>1346.1045138888887</v>
      </c>
      <c r="AS95" s="22"/>
      <c r="AT95" s="22"/>
      <c r="AU95" s="22"/>
      <c r="AV95" s="22"/>
      <c r="AW95" s="22"/>
      <c r="AX95" s="22"/>
      <c r="AY95" s="22"/>
      <c r="AZ95" s="209"/>
      <c r="BB95" s="219"/>
      <c r="BC95" s="22"/>
      <c r="BD95" s="22"/>
      <c r="BE95" s="22"/>
      <c r="BF95" s="22"/>
      <c r="BG95" s="22"/>
      <c r="BH95" s="22"/>
      <c r="BI95" s="22"/>
      <c r="BJ95" s="22"/>
      <c r="BK95" s="22"/>
      <c r="BL95" s="22"/>
      <c r="BM95" s="22"/>
      <c r="BN95" s="22"/>
      <c r="BO95" s="22"/>
      <c r="BP95" s="22"/>
      <c r="BQ95" s="22"/>
      <c r="BR95" s="22"/>
      <c r="BS95" s="22"/>
      <c r="BT95" s="22"/>
      <c r="BU95" s="22"/>
      <c r="BV95" s="22"/>
      <c r="BW95" s="22"/>
      <c r="BX95" s="22"/>
      <c r="BY95" s="22"/>
      <c r="BZ95" s="22"/>
      <c r="CA95" s="22"/>
      <c r="CB95" s="22"/>
      <c r="CC95" s="22"/>
      <c r="CD95" s="22"/>
      <c r="CE95" s="22"/>
      <c r="CF95" s="125">
        <v>0.94791666666666663</v>
      </c>
      <c r="CG95" s="206">
        <f>IF('Temperature Profiles'!AA94&lt;17,(-0.0076*'Temperature Profiles'!AA94+0.1245)*1000,0)</f>
        <v>94.859999999999985</v>
      </c>
      <c r="CH95" s="22"/>
      <c r="CI95" s="22"/>
      <c r="CJ95" s="22"/>
      <c r="CK95" s="22"/>
      <c r="CL95" s="22"/>
      <c r="CM95" s="125">
        <v>0.94791666666666663</v>
      </c>
      <c r="CN95" s="206">
        <f>IF('Temperature Profiles'!AF94&lt;17,(-0.0076*'Temperature Profiles'!AF94+0.1245)*1000,0)</f>
        <v>0</v>
      </c>
      <c r="CO95" s="22"/>
      <c r="CP95" s="22"/>
      <c r="CQ95" s="22"/>
      <c r="CR95" s="22"/>
      <c r="CS95" s="22"/>
      <c r="CT95" s="22"/>
      <c r="CU95" s="22"/>
      <c r="CV95" s="209"/>
      <c r="CX95" s="219"/>
      <c r="CY95" s="22"/>
      <c r="CZ95" s="22"/>
      <c r="DA95" s="22"/>
      <c r="DB95" s="22"/>
      <c r="DC95" s="22"/>
      <c r="DD95" s="22"/>
      <c r="DE95" s="22"/>
      <c r="DF95" s="22"/>
      <c r="DG95" s="22"/>
      <c r="DH95" s="22"/>
      <c r="DI95" s="22"/>
      <c r="DJ95" s="22"/>
      <c r="DK95" s="22"/>
      <c r="DL95" s="22"/>
      <c r="DM95" s="22"/>
      <c r="DN95" s="22"/>
      <c r="DO95" s="22"/>
      <c r="DP95" s="22"/>
      <c r="DQ95" s="22"/>
      <c r="DR95" s="22"/>
      <c r="DS95" s="22"/>
      <c r="DT95" s="22"/>
      <c r="DU95" s="22"/>
      <c r="DV95" s="22"/>
      <c r="DW95" s="22"/>
      <c r="DX95" s="22"/>
      <c r="DY95" s="22"/>
      <c r="DZ95" s="22"/>
      <c r="EA95" s="22"/>
      <c r="EB95" s="125">
        <v>0.94791666666666663</v>
      </c>
      <c r="EC95" s="241">
        <f>IF('Temperature Profiles'!AA94&gt;17,(0.0043*('Temperature Profiles'!AA94^2)-0.1116*'Temperature Profiles'!AA94+0.6576)*1000,IF('Temperature Profiles'!AA94&lt;17,(0.0053*('Temperature Profiles'!AA94^2)-0.1876*'Temperature Profiles'!AA94+1.7649)*1000,0))</f>
        <v>1113.8729999999994</v>
      </c>
      <c r="ED95" s="22"/>
      <c r="EE95" s="22"/>
      <c r="EF95" s="22"/>
      <c r="EG95" s="22"/>
      <c r="EH95" s="22"/>
      <c r="EI95" s="125">
        <v>0.94791666666666663</v>
      </c>
      <c r="EJ95" s="243">
        <f>IF('Temperature Profiles'!AF94&gt;17,(0.0043*('Temperature Profiles'!AF94^2)-0.1116*'Temperature Profiles'!AF94+0.6576)*1000,IF('Temperature Profiles'!AF94&lt;17,(0.0053*('Temperature Profiles'!AF94^2)-0.1876*'Temperature Profiles'!AF94+1.7649)*1000,0))</f>
        <v>1402.2449652777782</v>
      </c>
      <c r="EK95" s="22"/>
      <c r="EL95" s="22"/>
      <c r="EM95" s="22"/>
      <c r="EN95" s="22"/>
      <c r="EO95" s="22"/>
      <c r="EP95" s="22"/>
      <c r="EQ95" s="22"/>
      <c r="ER95" s="209"/>
    </row>
    <row r="96" spans="1:148" x14ac:dyDescent="0.3">
      <c r="A96" s="123">
        <v>0.94791666666666663</v>
      </c>
      <c r="B96" s="259">
        <f t="shared" si="3"/>
        <v>0</v>
      </c>
      <c r="C96" s="22">
        <f t="shared" si="4"/>
        <v>0</v>
      </c>
      <c r="D96" s="21">
        <f t="shared" si="5"/>
        <v>0</v>
      </c>
      <c r="F96" s="219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125">
        <v>0.95833333333333337</v>
      </c>
      <c r="AK96" s="233">
        <f>IF('Temperature Profiles'!AA95&gt;17,(0.005*('Temperature Profiles'!AA95^2) - 0.1517*'Temperature Profiles'!AA95 + 1.1701)*1000,0)</f>
        <v>0</v>
      </c>
      <c r="AL96" s="22"/>
      <c r="AM96" s="22"/>
      <c r="AN96" s="22"/>
      <c r="AO96" s="22"/>
      <c r="AP96" s="22"/>
      <c r="AQ96" s="125">
        <v>0.95833333333333337</v>
      </c>
      <c r="AR96" s="211">
        <f>IF('Temperature Profiles'!AF95&gt;17,(0.005*('Temperature Profiles'!AF95^2) - 0.1517*'Temperature Profiles'!AF95 + 1.1702)*1000,0)</f>
        <v>1346.1045138888887</v>
      </c>
      <c r="AS96" s="22"/>
      <c r="AT96" s="22"/>
      <c r="AU96" s="22"/>
      <c r="AV96" s="22"/>
      <c r="AW96" s="22"/>
      <c r="AX96" s="22"/>
      <c r="AY96" s="22"/>
      <c r="AZ96" s="209"/>
      <c r="BB96" s="219"/>
      <c r="BC96" s="22"/>
      <c r="BD96" s="22"/>
      <c r="BE96" s="22"/>
      <c r="BF96" s="22"/>
      <c r="BG96" s="22"/>
      <c r="BH96" s="22"/>
      <c r="BI96" s="22"/>
      <c r="BJ96" s="22"/>
      <c r="BK96" s="22"/>
      <c r="BL96" s="22"/>
      <c r="BM96" s="22"/>
      <c r="BN96" s="22"/>
      <c r="BO96" s="22"/>
      <c r="BP96" s="22"/>
      <c r="BQ96" s="22"/>
      <c r="BR96" s="22"/>
      <c r="BS96" s="22"/>
      <c r="BT96" s="22"/>
      <c r="BU96" s="22"/>
      <c r="BV96" s="22"/>
      <c r="BW96" s="22"/>
      <c r="BX96" s="22"/>
      <c r="BY96" s="22"/>
      <c r="BZ96" s="22"/>
      <c r="CA96" s="22"/>
      <c r="CB96" s="22"/>
      <c r="CC96" s="22"/>
      <c r="CD96" s="22"/>
      <c r="CE96" s="22"/>
      <c r="CF96" s="125">
        <v>0.95833333333333337</v>
      </c>
      <c r="CG96" s="206">
        <f>IF('Temperature Profiles'!AA95&lt;17,(-0.0076*'Temperature Profiles'!AA95+0.1245)*1000,0)</f>
        <v>94.859999999999985</v>
      </c>
      <c r="CH96" s="22"/>
      <c r="CI96" s="22"/>
      <c r="CJ96" s="22"/>
      <c r="CK96" s="22"/>
      <c r="CL96" s="22"/>
      <c r="CM96" s="125">
        <v>0.95833333333333337</v>
      </c>
      <c r="CN96" s="206">
        <f>IF('Temperature Profiles'!AF95&lt;17,(-0.0076*'Temperature Profiles'!AF95+0.1245)*1000,0)</f>
        <v>0</v>
      </c>
      <c r="CO96" s="22"/>
      <c r="CP96" s="22"/>
      <c r="CQ96" s="22"/>
      <c r="CR96" s="22"/>
      <c r="CS96" s="22"/>
      <c r="CT96" s="22"/>
      <c r="CU96" s="22"/>
      <c r="CV96" s="209"/>
      <c r="CX96" s="219"/>
      <c r="CY96" s="22"/>
      <c r="CZ96" s="22"/>
      <c r="DA96" s="22"/>
      <c r="DB96" s="22"/>
      <c r="DC96" s="22"/>
      <c r="DD96" s="22"/>
      <c r="DE96" s="22"/>
      <c r="DF96" s="22"/>
      <c r="DG96" s="22"/>
      <c r="DH96" s="22"/>
      <c r="DI96" s="22"/>
      <c r="DJ96" s="22"/>
      <c r="DK96" s="22"/>
      <c r="DL96" s="22"/>
      <c r="DM96" s="22"/>
      <c r="DN96" s="22"/>
      <c r="DO96" s="22"/>
      <c r="DP96" s="22"/>
      <c r="DQ96" s="22"/>
      <c r="DR96" s="22"/>
      <c r="DS96" s="22"/>
      <c r="DT96" s="22"/>
      <c r="DU96" s="22"/>
      <c r="DV96" s="22"/>
      <c r="DW96" s="22"/>
      <c r="DX96" s="22"/>
      <c r="DY96" s="22"/>
      <c r="DZ96" s="22"/>
      <c r="EA96" s="22"/>
      <c r="EB96" s="125">
        <v>0.95833333333333337</v>
      </c>
      <c r="EC96" s="241">
        <f>IF('Temperature Profiles'!AA95&gt;17,(0.0043*('Temperature Profiles'!AA95^2)-0.1116*'Temperature Profiles'!AA95+0.6576)*1000,IF('Temperature Profiles'!AA95&lt;17,(0.0053*('Temperature Profiles'!AA95^2)-0.1876*'Temperature Profiles'!AA95+1.7649)*1000,0))</f>
        <v>1113.8729999999994</v>
      </c>
      <c r="ED96" s="22"/>
      <c r="EE96" s="22"/>
      <c r="EF96" s="22"/>
      <c r="EG96" s="22"/>
      <c r="EH96" s="22"/>
      <c r="EI96" s="125">
        <v>0.95833333333333337</v>
      </c>
      <c r="EJ96" s="243">
        <f>IF('Temperature Profiles'!AF95&gt;17,(0.0043*('Temperature Profiles'!AF95^2)-0.1116*'Temperature Profiles'!AF95+0.6576)*1000,IF('Temperature Profiles'!AF95&lt;17,(0.0053*('Temperature Profiles'!AF95^2)-0.1876*'Temperature Profiles'!AF95+1.7649)*1000,0))</f>
        <v>1402.2449652777782</v>
      </c>
      <c r="EK96" s="22"/>
      <c r="EL96" s="22"/>
      <c r="EM96" s="22"/>
      <c r="EN96" s="22"/>
      <c r="EO96" s="22"/>
      <c r="EP96" s="22"/>
      <c r="EQ96" s="22"/>
      <c r="ER96" s="209"/>
    </row>
    <row r="97" spans="1:148" x14ac:dyDescent="0.3">
      <c r="A97" s="123">
        <v>0.95833333333333337</v>
      </c>
      <c r="B97" s="259">
        <f t="shared" si="3"/>
        <v>0</v>
      </c>
      <c r="C97" s="22">
        <f t="shared" si="4"/>
        <v>0</v>
      </c>
      <c r="D97" s="21">
        <f t="shared" si="5"/>
        <v>0</v>
      </c>
      <c r="F97" s="219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125">
        <v>0.96875</v>
      </c>
      <c r="AK97" s="233">
        <f>IF('Temperature Profiles'!AA96&gt;17,(0.005*('Temperature Profiles'!AA96^2) - 0.1517*'Temperature Profiles'!AA96 + 1.1701)*1000,0)</f>
        <v>0</v>
      </c>
      <c r="AL97" s="22"/>
      <c r="AM97" s="22"/>
      <c r="AN97" s="22"/>
      <c r="AO97" s="22"/>
      <c r="AP97" s="22"/>
      <c r="AQ97" s="125">
        <v>0.96875</v>
      </c>
      <c r="AR97" s="211">
        <f>IF('Temperature Profiles'!AF96&gt;17,(0.005*('Temperature Profiles'!AF96^2) - 0.1517*'Temperature Profiles'!AF96 + 1.1702)*1000,0)</f>
        <v>1172.9828472222218</v>
      </c>
      <c r="AS97" s="22"/>
      <c r="AT97" s="22"/>
      <c r="AU97" s="22"/>
      <c r="AV97" s="22"/>
      <c r="AW97" s="22"/>
      <c r="AX97" s="22"/>
      <c r="AY97" s="22"/>
      <c r="AZ97" s="209"/>
      <c r="BB97" s="219"/>
      <c r="BC97" s="22"/>
      <c r="BD97" s="22"/>
      <c r="BE97" s="22"/>
      <c r="BF97" s="22"/>
      <c r="BG97" s="22"/>
      <c r="BH97" s="22"/>
      <c r="BI97" s="22"/>
      <c r="BJ97" s="22"/>
      <c r="BK97" s="22"/>
      <c r="BL97" s="22"/>
      <c r="BM97" s="22"/>
      <c r="BN97" s="22"/>
      <c r="BO97" s="22"/>
      <c r="BP97" s="22"/>
      <c r="BQ97" s="22"/>
      <c r="BR97" s="22"/>
      <c r="BS97" s="22"/>
      <c r="BT97" s="22"/>
      <c r="BU97" s="22"/>
      <c r="BV97" s="22"/>
      <c r="BW97" s="22"/>
      <c r="BX97" s="22"/>
      <c r="BY97" s="22"/>
      <c r="BZ97" s="22"/>
      <c r="CA97" s="22"/>
      <c r="CB97" s="22"/>
      <c r="CC97" s="22"/>
      <c r="CD97" s="22"/>
      <c r="CE97" s="22"/>
      <c r="CF97" s="125">
        <v>0.96875</v>
      </c>
      <c r="CG97" s="206">
        <f>IF('Temperature Profiles'!AA96&lt;17,(-0.0076*'Temperature Profiles'!AA96+0.1245)*1000,0)</f>
        <v>95.303333333333342</v>
      </c>
      <c r="CH97" s="22"/>
      <c r="CI97" s="22"/>
      <c r="CJ97" s="22"/>
      <c r="CK97" s="22"/>
      <c r="CL97" s="22"/>
      <c r="CM97" s="125">
        <v>0.96875</v>
      </c>
      <c r="CN97" s="206">
        <f>IF('Temperature Profiles'!AF96&lt;17,(-0.0076*'Temperature Profiles'!AF96+0.1245)*1000,0)</f>
        <v>0</v>
      </c>
      <c r="CO97" s="22"/>
      <c r="CP97" s="22"/>
      <c r="CQ97" s="22"/>
      <c r="CR97" s="22"/>
      <c r="CS97" s="22"/>
      <c r="CT97" s="22"/>
      <c r="CU97" s="22"/>
      <c r="CV97" s="209"/>
      <c r="CX97" s="219"/>
      <c r="CY97" s="22"/>
      <c r="CZ97" s="22"/>
      <c r="DA97" s="22"/>
      <c r="DB97" s="22"/>
      <c r="DC97" s="22"/>
      <c r="DD97" s="22"/>
      <c r="DE97" s="22"/>
      <c r="DF97" s="22"/>
      <c r="DG97" s="22"/>
      <c r="DH97" s="22"/>
      <c r="DI97" s="22"/>
      <c r="DJ97" s="22"/>
      <c r="DK97" s="22"/>
      <c r="DL97" s="22"/>
      <c r="DM97" s="22"/>
      <c r="DN97" s="22"/>
      <c r="DO97" s="22"/>
      <c r="DP97" s="22"/>
      <c r="DQ97" s="22"/>
      <c r="DR97" s="22"/>
      <c r="DS97" s="22"/>
      <c r="DT97" s="22"/>
      <c r="DU97" s="22"/>
      <c r="DV97" s="22"/>
      <c r="DW97" s="22"/>
      <c r="DX97" s="22"/>
      <c r="DY97" s="22"/>
      <c r="DZ97" s="22"/>
      <c r="EA97" s="22"/>
      <c r="EB97" s="125">
        <v>0.96875</v>
      </c>
      <c r="EC97" s="241">
        <f>IF('Temperature Profiles'!AA96&gt;17,(0.0043*('Temperature Profiles'!AA96^2)-0.1116*'Temperature Profiles'!AA96+0.6576)*1000,IF('Temperature Profiles'!AA96&lt;17,(0.0053*('Temperature Profiles'!AA96^2)-0.1876*'Temperature Profiles'!AA96+1.7649)*1000,0))</f>
        <v>1122.4228680555557</v>
      </c>
      <c r="ED97" s="22"/>
      <c r="EE97" s="22"/>
      <c r="EF97" s="22"/>
      <c r="EG97" s="22"/>
      <c r="EH97" s="22"/>
      <c r="EI97" s="125">
        <v>0.96875</v>
      </c>
      <c r="EJ97" s="243">
        <f>IF('Temperature Profiles'!AF96&gt;17,(0.0043*('Temperature Profiles'!AF96^2)-0.1116*'Temperature Profiles'!AF96+0.6576)*1000,IF('Temperature Profiles'!AF96&lt;17,(0.0053*('Temperature Profiles'!AF96^2)-0.1876*'Temperature Profiles'!AF96+1.7649)*1000,0))</f>
        <v>1232.6121319444439</v>
      </c>
      <c r="EK97" s="22"/>
      <c r="EL97" s="22"/>
      <c r="EM97" s="22"/>
      <c r="EN97" s="22"/>
      <c r="EO97" s="22"/>
      <c r="EP97" s="22"/>
      <c r="EQ97" s="22"/>
      <c r="ER97" s="209"/>
    </row>
    <row r="98" spans="1:148" x14ac:dyDescent="0.3">
      <c r="A98" s="123">
        <v>0.96875</v>
      </c>
      <c r="B98" s="259">
        <f t="shared" si="3"/>
        <v>0</v>
      </c>
      <c r="C98" s="22">
        <f t="shared" si="4"/>
        <v>0</v>
      </c>
      <c r="D98" s="21">
        <f t="shared" si="5"/>
        <v>0</v>
      </c>
      <c r="F98" s="219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125">
        <v>0.97916666666666663</v>
      </c>
      <c r="AK98" s="233">
        <f>IF('Temperature Profiles'!AA97&gt;17,(0.005*('Temperature Profiles'!AA97^2) - 0.1517*'Temperature Profiles'!AA97 + 1.1701)*1000,0)</f>
        <v>0</v>
      </c>
      <c r="AL98" s="22"/>
      <c r="AM98" s="22"/>
      <c r="AN98" s="22"/>
      <c r="AO98" s="22"/>
      <c r="AP98" s="22"/>
      <c r="AQ98" s="125">
        <v>0.97916666666666663</v>
      </c>
      <c r="AR98" s="211">
        <f>IF('Temperature Profiles'!AF97&gt;17,(0.005*('Temperature Profiles'!AF97^2) - 0.1517*'Temperature Profiles'!AF97 + 1.1702)*1000,0)</f>
        <v>1172.9828472222218</v>
      </c>
      <c r="AS98" s="22"/>
      <c r="AT98" s="22"/>
      <c r="AU98" s="22"/>
      <c r="AV98" s="22"/>
      <c r="AW98" s="22"/>
      <c r="AX98" s="22"/>
      <c r="AY98" s="22"/>
      <c r="AZ98" s="209"/>
      <c r="BB98" s="219"/>
      <c r="BC98" s="22"/>
      <c r="BD98" s="22"/>
      <c r="BE98" s="22"/>
      <c r="BF98" s="22"/>
      <c r="BG98" s="22"/>
      <c r="BH98" s="22"/>
      <c r="BI98" s="22"/>
      <c r="BJ98" s="22"/>
      <c r="BK98" s="22"/>
      <c r="BL98" s="22"/>
      <c r="BM98" s="22"/>
      <c r="BN98" s="22"/>
      <c r="BO98" s="22"/>
      <c r="BP98" s="22"/>
      <c r="BQ98" s="22"/>
      <c r="BR98" s="22"/>
      <c r="BS98" s="22"/>
      <c r="BT98" s="22"/>
      <c r="BU98" s="22"/>
      <c r="BV98" s="22"/>
      <c r="BW98" s="22"/>
      <c r="BX98" s="22"/>
      <c r="BY98" s="22"/>
      <c r="BZ98" s="22"/>
      <c r="CA98" s="22"/>
      <c r="CB98" s="22"/>
      <c r="CC98" s="22"/>
      <c r="CD98" s="22"/>
      <c r="CE98" s="22"/>
      <c r="CF98" s="125">
        <v>0.97916666666666663</v>
      </c>
      <c r="CG98" s="206">
        <f>IF('Temperature Profiles'!AA97&lt;17,(-0.0076*'Temperature Profiles'!AA97+0.1245)*1000,0)</f>
        <v>95.303333333333342</v>
      </c>
      <c r="CH98" s="22"/>
      <c r="CI98" s="22"/>
      <c r="CJ98" s="22"/>
      <c r="CK98" s="22"/>
      <c r="CL98" s="22"/>
      <c r="CM98" s="125">
        <v>0.97916666666666663</v>
      </c>
      <c r="CN98" s="206">
        <f>IF('Temperature Profiles'!AF97&lt;17,(-0.0076*'Temperature Profiles'!AF97+0.1245)*1000,0)</f>
        <v>0</v>
      </c>
      <c r="CO98" s="22"/>
      <c r="CP98" s="22"/>
      <c r="CQ98" s="22"/>
      <c r="CR98" s="22"/>
      <c r="CS98" s="22"/>
      <c r="CT98" s="22"/>
      <c r="CU98" s="22"/>
      <c r="CV98" s="209"/>
      <c r="CX98" s="219"/>
      <c r="CY98" s="22"/>
      <c r="CZ98" s="22"/>
      <c r="DA98" s="22"/>
      <c r="DB98" s="22"/>
      <c r="DC98" s="22"/>
      <c r="DD98" s="22"/>
      <c r="DE98" s="22"/>
      <c r="DF98" s="22"/>
      <c r="DG98" s="22"/>
      <c r="DH98" s="22"/>
      <c r="DI98" s="22"/>
      <c r="DJ98" s="22"/>
      <c r="DK98" s="22"/>
      <c r="DL98" s="22"/>
      <c r="DM98" s="22"/>
      <c r="DN98" s="22"/>
      <c r="DO98" s="22"/>
      <c r="DP98" s="22"/>
      <c r="DQ98" s="22"/>
      <c r="DR98" s="22"/>
      <c r="DS98" s="22"/>
      <c r="DT98" s="22"/>
      <c r="DU98" s="22"/>
      <c r="DV98" s="22"/>
      <c r="DW98" s="22"/>
      <c r="DX98" s="22"/>
      <c r="DY98" s="22"/>
      <c r="DZ98" s="22"/>
      <c r="EA98" s="22"/>
      <c r="EB98" s="125">
        <v>0.97916666666666663</v>
      </c>
      <c r="EC98" s="241">
        <f>IF('Temperature Profiles'!AA97&gt;17,(0.0043*('Temperature Profiles'!AA97^2)-0.1116*'Temperature Profiles'!AA97+0.6576)*1000,IF('Temperature Profiles'!AA97&lt;17,(0.0053*('Temperature Profiles'!AA97^2)-0.1876*'Temperature Profiles'!AA97+1.7649)*1000,0))</f>
        <v>1122.4228680555557</v>
      </c>
      <c r="ED98" s="22"/>
      <c r="EE98" s="22"/>
      <c r="EF98" s="22"/>
      <c r="EG98" s="22"/>
      <c r="EH98" s="22"/>
      <c r="EI98" s="125">
        <v>0.97916666666666663</v>
      </c>
      <c r="EJ98" s="243">
        <f>IF('Temperature Profiles'!AF97&gt;17,(0.0043*('Temperature Profiles'!AF97^2)-0.1116*'Temperature Profiles'!AF97+0.6576)*1000,IF('Temperature Profiles'!AF97&lt;17,(0.0053*('Temperature Profiles'!AF97^2)-0.1876*'Temperature Profiles'!AF97+1.7649)*1000,0))</f>
        <v>1232.6121319444439</v>
      </c>
      <c r="EK98" s="22"/>
      <c r="EL98" s="22"/>
      <c r="EM98" s="22"/>
      <c r="EN98" s="22"/>
      <c r="EO98" s="22"/>
      <c r="EP98" s="22"/>
      <c r="EQ98" s="22"/>
      <c r="ER98" s="209"/>
    </row>
    <row r="99" spans="1:148" x14ac:dyDescent="0.3">
      <c r="A99" s="123">
        <v>0.97916666666666663</v>
      </c>
      <c r="B99" s="259">
        <f t="shared" si="3"/>
        <v>0</v>
      </c>
      <c r="C99" s="22">
        <f t="shared" si="4"/>
        <v>0</v>
      </c>
      <c r="D99" s="21">
        <f t="shared" si="5"/>
        <v>0</v>
      </c>
      <c r="F99" s="219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125">
        <v>0.98958333333333337</v>
      </c>
      <c r="AK99" s="233">
        <f>IF('Temperature Profiles'!AA98&gt;17,(0.005*('Temperature Profiles'!AA98^2) - 0.1517*'Temperature Profiles'!AA98 + 1.1701)*1000,0)</f>
        <v>0</v>
      </c>
      <c r="AL99" s="22"/>
      <c r="AM99" s="22"/>
      <c r="AN99" s="22"/>
      <c r="AO99" s="22"/>
      <c r="AP99" s="22"/>
      <c r="AQ99" s="125">
        <v>0.98958333333333337</v>
      </c>
      <c r="AR99" s="211">
        <f>IF('Temperature Profiles'!AF98&gt;17,(0.005*('Temperature Profiles'!AF98^2) - 0.1517*'Temperature Profiles'!AF98 + 1.1702)*1000,0)</f>
        <v>1172.9828472222218</v>
      </c>
      <c r="AS99" s="22"/>
      <c r="AT99" s="22"/>
      <c r="AU99" s="22"/>
      <c r="AV99" s="22"/>
      <c r="AW99" s="22"/>
      <c r="AX99" s="22"/>
      <c r="AY99" s="22"/>
      <c r="AZ99" s="209"/>
      <c r="BB99" s="219"/>
      <c r="BC99" s="22"/>
      <c r="BD99" s="22"/>
      <c r="BE99" s="22"/>
      <c r="BF99" s="22"/>
      <c r="BG99" s="22"/>
      <c r="BH99" s="22"/>
      <c r="BI99" s="22"/>
      <c r="BJ99" s="22"/>
      <c r="BK99" s="22"/>
      <c r="BL99" s="22"/>
      <c r="BM99" s="22"/>
      <c r="BN99" s="22"/>
      <c r="BO99" s="22"/>
      <c r="BP99" s="22"/>
      <c r="BQ99" s="22"/>
      <c r="BR99" s="22"/>
      <c r="BS99" s="22"/>
      <c r="BT99" s="22"/>
      <c r="BU99" s="22"/>
      <c r="BV99" s="22"/>
      <c r="BW99" s="22"/>
      <c r="BX99" s="22"/>
      <c r="BY99" s="22"/>
      <c r="BZ99" s="22"/>
      <c r="CA99" s="22"/>
      <c r="CB99" s="22"/>
      <c r="CC99" s="22"/>
      <c r="CD99" s="22"/>
      <c r="CE99" s="22"/>
      <c r="CF99" s="125">
        <v>0.98958333333333337</v>
      </c>
      <c r="CG99" s="206">
        <f>IF('Temperature Profiles'!AA98&lt;17,(-0.0076*'Temperature Profiles'!AA98+0.1245)*1000,0)</f>
        <v>95.303333333333342</v>
      </c>
      <c r="CH99" s="22"/>
      <c r="CI99" s="22"/>
      <c r="CJ99" s="22"/>
      <c r="CK99" s="22"/>
      <c r="CL99" s="22"/>
      <c r="CM99" s="125">
        <v>0.98958333333333337</v>
      </c>
      <c r="CN99" s="206">
        <f>IF('Temperature Profiles'!AF98&lt;17,(-0.0076*'Temperature Profiles'!AF98+0.1245)*1000,0)</f>
        <v>0</v>
      </c>
      <c r="CO99" s="22"/>
      <c r="CP99" s="22"/>
      <c r="CQ99" s="22"/>
      <c r="CR99" s="22"/>
      <c r="CS99" s="22"/>
      <c r="CT99" s="22"/>
      <c r="CU99" s="22"/>
      <c r="CV99" s="209"/>
      <c r="CX99" s="219"/>
      <c r="CY99" s="22"/>
      <c r="CZ99" s="22"/>
      <c r="DA99" s="22"/>
      <c r="DB99" s="22"/>
      <c r="DC99" s="22"/>
      <c r="DD99" s="22"/>
      <c r="DE99" s="22"/>
      <c r="DF99" s="22"/>
      <c r="DG99" s="22"/>
      <c r="DH99" s="22"/>
      <c r="DI99" s="22"/>
      <c r="DJ99" s="22"/>
      <c r="DK99" s="22"/>
      <c r="DL99" s="22"/>
      <c r="DM99" s="22"/>
      <c r="DN99" s="22"/>
      <c r="DO99" s="22"/>
      <c r="DP99" s="22"/>
      <c r="DQ99" s="22"/>
      <c r="DR99" s="22"/>
      <c r="DS99" s="22"/>
      <c r="DT99" s="22"/>
      <c r="DU99" s="22"/>
      <c r="DV99" s="22"/>
      <c r="DW99" s="22"/>
      <c r="DX99" s="22"/>
      <c r="DY99" s="22"/>
      <c r="DZ99" s="22"/>
      <c r="EA99" s="22"/>
      <c r="EB99" s="125">
        <v>0.98958333333333337</v>
      </c>
      <c r="EC99" s="241">
        <f>IF('Temperature Profiles'!AA98&gt;17,(0.0043*('Temperature Profiles'!AA98^2)-0.1116*'Temperature Profiles'!AA98+0.6576)*1000,IF('Temperature Profiles'!AA98&lt;17,(0.0053*('Temperature Profiles'!AA98^2)-0.1876*'Temperature Profiles'!AA98+1.7649)*1000,0))</f>
        <v>1122.4228680555557</v>
      </c>
      <c r="ED99" s="22"/>
      <c r="EE99" s="22"/>
      <c r="EF99" s="22"/>
      <c r="EG99" s="22"/>
      <c r="EH99" s="22"/>
      <c r="EI99" s="125">
        <v>0.98958333333333337</v>
      </c>
      <c r="EJ99" s="243">
        <f>IF('Temperature Profiles'!AF98&gt;17,(0.0043*('Temperature Profiles'!AF98^2)-0.1116*'Temperature Profiles'!AF98+0.6576)*1000,IF('Temperature Profiles'!AF98&lt;17,(0.0053*('Temperature Profiles'!AF98^2)-0.1876*'Temperature Profiles'!AF98+1.7649)*1000,0))</f>
        <v>1232.6121319444439</v>
      </c>
      <c r="EK99" s="22"/>
      <c r="EL99" s="22"/>
      <c r="EM99" s="22"/>
      <c r="EN99" s="22"/>
      <c r="EO99" s="22"/>
      <c r="EP99" s="22"/>
      <c r="EQ99" s="22"/>
      <c r="ER99" s="209"/>
    </row>
    <row r="100" spans="1:148" x14ac:dyDescent="0.3">
      <c r="A100" s="123">
        <v>0.98958333333333337</v>
      </c>
      <c r="B100" s="259">
        <f t="shared" si="3"/>
        <v>0</v>
      </c>
      <c r="C100" s="22">
        <f t="shared" si="4"/>
        <v>0</v>
      </c>
      <c r="D100" s="21">
        <f t="shared" si="5"/>
        <v>0</v>
      </c>
      <c r="F100" s="219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126">
        <v>1</v>
      </c>
      <c r="AK100" s="238">
        <f>IF('Temperature Profiles'!AA99&gt;17,(0.005*('Temperature Profiles'!AA99^2) - 0.1517*'Temperature Profiles'!AA99 + 1.1701)*1000,0)</f>
        <v>0</v>
      </c>
      <c r="AL100" s="22"/>
      <c r="AM100" s="22"/>
      <c r="AN100" s="22"/>
      <c r="AO100" s="22"/>
      <c r="AP100" s="22"/>
      <c r="AQ100" s="126">
        <v>1</v>
      </c>
      <c r="AR100" s="239">
        <f>IF('Temperature Profiles'!AF99&gt;17,(0.005*('Temperature Profiles'!AF99^2) - 0.1517*'Temperature Profiles'!AF99 + 1.1702)*1000,0)</f>
        <v>1172.9828472222218</v>
      </c>
      <c r="AS100" s="22"/>
      <c r="AT100" s="22"/>
      <c r="AU100" s="22"/>
      <c r="AV100" s="22"/>
      <c r="AW100" s="22"/>
      <c r="AX100" s="22"/>
      <c r="AY100" s="22"/>
      <c r="AZ100" s="209"/>
      <c r="BB100" s="219"/>
      <c r="BC100" s="22"/>
      <c r="BD100" s="22"/>
      <c r="BE100" s="22"/>
      <c r="BF100" s="22"/>
      <c r="BG100" s="22"/>
      <c r="BH100" s="22"/>
      <c r="BI100" s="22"/>
      <c r="BJ100" s="22"/>
      <c r="BK100" s="22"/>
      <c r="BL100" s="22"/>
      <c r="BM100" s="22"/>
      <c r="BN100" s="22"/>
      <c r="BO100" s="22"/>
      <c r="BP100" s="22"/>
      <c r="BQ100" s="22"/>
      <c r="BR100" s="22"/>
      <c r="BS100" s="22"/>
      <c r="BT100" s="22"/>
      <c r="BU100" s="22"/>
      <c r="BV100" s="22"/>
      <c r="BW100" s="22"/>
      <c r="BX100" s="22"/>
      <c r="BY100" s="22"/>
      <c r="BZ100" s="22"/>
      <c r="CA100" s="22"/>
      <c r="CB100" s="22"/>
      <c r="CC100" s="22"/>
      <c r="CD100" s="22"/>
      <c r="CE100" s="22"/>
      <c r="CF100" s="126">
        <v>1</v>
      </c>
      <c r="CG100" s="240">
        <f>IF('Temperature Profiles'!AA99&lt;17,(-0.0076*'Temperature Profiles'!AA99+0.1245)*1000,0)</f>
        <v>95.303333333333342</v>
      </c>
      <c r="CH100" s="22"/>
      <c r="CI100" s="22"/>
      <c r="CJ100" s="22"/>
      <c r="CK100" s="22"/>
      <c r="CL100" s="22"/>
      <c r="CM100" s="126">
        <v>1</v>
      </c>
      <c r="CN100" s="240">
        <f>IF('Temperature Profiles'!AF99&lt;17,(-0.0076*'Temperature Profiles'!AF99+0.1245)*1000,0)</f>
        <v>0</v>
      </c>
      <c r="CO100" s="22"/>
      <c r="CP100" s="22"/>
      <c r="CQ100" s="22"/>
      <c r="CR100" s="22"/>
      <c r="CS100" s="22"/>
      <c r="CT100" s="22"/>
      <c r="CU100" s="22"/>
      <c r="CV100" s="209"/>
      <c r="CX100" s="219"/>
      <c r="CY100" s="22"/>
      <c r="CZ100" s="22"/>
      <c r="DA100" s="22"/>
      <c r="DB100" s="22"/>
      <c r="DC100" s="22"/>
      <c r="DD100" s="22"/>
      <c r="DE100" s="22"/>
      <c r="DF100" s="22"/>
      <c r="DG100" s="22"/>
      <c r="DH100" s="22"/>
      <c r="DI100" s="22"/>
      <c r="DJ100" s="22"/>
      <c r="DK100" s="22"/>
      <c r="DL100" s="22"/>
      <c r="DM100" s="22"/>
      <c r="DN100" s="22"/>
      <c r="DO100" s="22"/>
      <c r="DP100" s="22"/>
      <c r="DQ100" s="22"/>
      <c r="DR100" s="22"/>
      <c r="DS100" s="22"/>
      <c r="DT100" s="22"/>
      <c r="DU100" s="22"/>
      <c r="DV100" s="22"/>
      <c r="DW100" s="22"/>
      <c r="DX100" s="22"/>
      <c r="DY100" s="22"/>
      <c r="DZ100" s="22"/>
      <c r="EA100" s="22"/>
      <c r="EB100" s="126">
        <v>1</v>
      </c>
      <c r="EC100" s="242">
        <f>IF('Temperature Profiles'!AA99&gt;17,(0.0043*('Temperature Profiles'!AA99^2)-0.1116*'Temperature Profiles'!AA99+0.6576)*1000,IF('Temperature Profiles'!AA99&lt;17,(0.0053*('Temperature Profiles'!AA99^2)-0.1876*'Temperature Profiles'!AA99+1.7649)*1000,0))</f>
        <v>1122.4228680555557</v>
      </c>
      <c r="ED100" s="22"/>
      <c r="EE100" s="22"/>
      <c r="EF100" s="22"/>
      <c r="EG100" s="22"/>
      <c r="EH100" s="22"/>
      <c r="EI100" s="126">
        <v>1</v>
      </c>
      <c r="EJ100" s="244">
        <f>IF('Temperature Profiles'!AF99&gt;17,(0.0043*('Temperature Profiles'!AF99^2)-0.1116*'Temperature Profiles'!AF99+0.6576)*1000,IF('Temperature Profiles'!AF99&lt;17,(0.0053*('Temperature Profiles'!AF99^2)-0.1876*'Temperature Profiles'!AF99+1.7649)*1000,0))</f>
        <v>1232.6121319444439</v>
      </c>
      <c r="EK100" s="22"/>
      <c r="EL100" s="22"/>
      <c r="EM100" s="22"/>
      <c r="EN100" s="22"/>
      <c r="EO100" s="22"/>
      <c r="EP100" s="22"/>
      <c r="EQ100" s="22"/>
      <c r="ER100" s="209"/>
    </row>
    <row r="101" spans="1:148" x14ac:dyDescent="0.3">
      <c r="A101" s="123">
        <v>1</v>
      </c>
      <c r="B101" s="260">
        <f t="shared" si="3"/>
        <v>0</v>
      </c>
      <c r="C101" s="261">
        <f t="shared" si="4"/>
        <v>0</v>
      </c>
      <c r="D101" s="28">
        <f t="shared" si="5"/>
        <v>0</v>
      </c>
      <c r="F101" s="219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  <c r="AZ101" s="209"/>
      <c r="BB101" s="219"/>
      <c r="BC101" s="22"/>
      <c r="BD101" s="22"/>
      <c r="BE101" s="22"/>
      <c r="BF101" s="22"/>
      <c r="BG101" s="22"/>
      <c r="BH101" s="22"/>
      <c r="BI101" s="22"/>
      <c r="BJ101" s="22"/>
      <c r="BK101" s="22"/>
      <c r="BL101" s="22"/>
      <c r="BM101" s="22"/>
      <c r="BN101" s="22"/>
      <c r="BO101" s="22"/>
      <c r="BP101" s="22"/>
      <c r="BQ101" s="22"/>
      <c r="BR101" s="22"/>
      <c r="BS101" s="22"/>
      <c r="BT101" s="22"/>
      <c r="BU101" s="22"/>
      <c r="BV101" s="22"/>
      <c r="BW101" s="22"/>
      <c r="BX101" s="22"/>
      <c r="BY101" s="22"/>
      <c r="BZ101" s="22"/>
      <c r="CA101" s="22"/>
      <c r="CB101" s="22"/>
      <c r="CC101" s="22"/>
      <c r="CD101" s="22"/>
      <c r="CE101" s="22"/>
      <c r="CF101" s="22"/>
      <c r="CG101" s="22"/>
      <c r="CH101" s="22"/>
      <c r="CI101" s="22"/>
      <c r="CJ101" s="22"/>
      <c r="CK101" s="22"/>
      <c r="CL101" s="22"/>
      <c r="CM101" s="22"/>
      <c r="CN101" s="22"/>
      <c r="CO101" s="22"/>
      <c r="CP101" s="22"/>
      <c r="CQ101" s="22"/>
      <c r="CR101" s="22"/>
      <c r="CS101" s="22"/>
      <c r="CT101" s="22"/>
      <c r="CU101" s="22"/>
      <c r="CV101" s="209"/>
      <c r="CX101" s="219"/>
      <c r="CY101" s="22"/>
      <c r="CZ101" s="22"/>
      <c r="DA101" s="22"/>
      <c r="DB101" s="22"/>
      <c r="DC101" s="22"/>
      <c r="DD101" s="22"/>
      <c r="DE101" s="22"/>
      <c r="DF101" s="22"/>
      <c r="DG101" s="22"/>
      <c r="DH101" s="22"/>
      <c r="DI101" s="22"/>
      <c r="DJ101" s="22"/>
      <c r="DK101" s="22"/>
      <c r="DL101" s="22"/>
      <c r="DM101" s="22"/>
      <c r="DN101" s="22"/>
      <c r="DO101" s="22"/>
      <c r="DP101" s="22"/>
      <c r="DQ101" s="22"/>
      <c r="DR101" s="22"/>
      <c r="DS101" s="22"/>
      <c r="DT101" s="22"/>
      <c r="DU101" s="22"/>
      <c r="DV101" s="22"/>
      <c r="DW101" s="22"/>
      <c r="DX101" s="22"/>
      <c r="DY101" s="22"/>
      <c r="DZ101" s="22"/>
      <c r="EA101" s="22"/>
      <c r="EB101" s="22"/>
      <c r="EC101" s="22"/>
      <c r="ED101" s="22"/>
      <c r="EE101" s="22"/>
      <c r="EF101" s="22"/>
      <c r="EG101" s="22"/>
      <c r="EH101" s="22"/>
      <c r="EI101" s="22"/>
      <c r="EJ101" s="22"/>
      <c r="EK101" s="22"/>
      <c r="EL101" s="22"/>
      <c r="EM101" s="22"/>
      <c r="EN101" s="22"/>
      <c r="EO101" s="22"/>
      <c r="EP101" s="22"/>
      <c r="EQ101" s="22"/>
      <c r="ER101" s="209"/>
    </row>
    <row r="102" spans="1:148" ht="15" thickBot="1" x14ac:dyDescent="0.35">
      <c r="F102" s="213"/>
      <c r="G102" s="217"/>
      <c r="H102" s="217"/>
      <c r="I102" s="217"/>
      <c r="J102" s="217"/>
      <c r="K102" s="217"/>
      <c r="L102" s="217"/>
      <c r="M102" s="217"/>
      <c r="N102" s="217"/>
      <c r="O102" s="217"/>
      <c r="P102" s="217"/>
      <c r="Q102" s="217"/>
      <c r="R102" s="217"/>
      <c r="S102" s="217"/>
      <c r="T102" s="217"/>
      <c r="U102" s="217"/>
      <c r="V102" s="217"/>
      <c r="W102" s="217"/>
      <c r="X102" s="217"/>
      <c r="Y102" s="217"/>
      <c r="Z102" s="217"/>
      <c r="AA102" s="217"/>
      <c r="AB102" s="217"/>
      <c r="AC102" s="217"/>
      <c r="AD102" s="217"/>
      <c r="AE102" s="217"/>
      <c r="AF102" s="217"/>
      <c r="AG102" s="217"/>
      <c r="AH102" s="217"/>
      <c r="AI102" s="217"/>
      <c r="AJ102" s="217"/>
      <c r="AK102" s="221">
        <f>SUM(AK5:AK100)/4000</f>
        <v>0</v>
      </c>
      <c r="AL102" s="215" t="s">
        <v>246</v>
      </c>
      <c r="AM102" s="217"/>
      <c r="AN102" s="217"/>
      <c r="AO102" s="217"/>
      <c r="AP102" s="217"/>
      <c r="AQ102" s="217"/>
      <c r="AR102" s="221">
        <f>SUM(AR5:AR100)/4000</f>
        <v>32.325726805555583</v>
      </c>
      <c r="AS102" s="215" t="s">
        <v>246</v>
      </c>
      <c r="AT102" s="217"/>
      <c r="AU102" s="217"/>
      <c r="AV102" s="217"/>
      <c r="AW102" s="217"/>
      <c r="AX102" s="217"/>
      <c r="AY102" s="217"/>
      <c r="AZ102" s="210"/>
      <c r="BB102" s="213"/>
      <c r="BC102" s="217"/>
      <c r="BD102" s="217"/>
      <c r="BE102" s="217"/>
      <c r="BF102" s="217"/>
      <c r="BG102" s="217"/>
      <c r="BH102" s="217"/>
      <c r="BI102" s="217"/>
      <c r="BJ102" s="217"/>
      <c r="BK102" s="217"/>
      <c r="BL102" s="217"/>
      <c r="BM102" s="217"/>
      <c r="BN102" s="217"/>
      <c r="BO102" s="217"/>
      <c r="BP102" s="217"/>
      <c r="BQ102" s="217"/>
      <c r="BR102" s="217"/>
      <c r="BS102" s="217"/>
      <c r="BT102" s="217"/>
      <c r="BU102" s="217"/>
      <c r="BV102" s="217"/>
      <c r="BW102" s="217"/>
      <c r="BX102" s="217"/>
      <c r="BY102" s="217"/>
      <c r="BZ102" s="217"/>
      <c r="CA102" s="217"/>
      <c r="CB102" s="217"/>
      <c r="CC102" s="217"/>
      <c r="CD102" s="217"/>
      <c r="CE102" s="217"/>
      <c r="CF102" s="217"/>
      <c r="CG102" s="221">
        <f>SUM(CG5:CG100)/4000</f>
        <v>2.1433233333333335</v>
      </c>
      <c r="CH102" s="215" t="s">
        <v>246</v>
      </c>
      <c r="CI102" s="217"/>
      <c r="CJ102" s="217"/>
      <c r="CK102" s="217"/>
      <c r="CL102" s="217"/>
      <c r="CM102" s="217"/>
      <c r="CN102" s="221">
        <f>SUM(CN5:CN100)/4000</f>
        <v>0</v>
      </c>
      <c r="CO102" s="215" t="s">
        <v>246</v>
      </c>
      <c r="CP102" s="217"/>
      <c r="CQ102" s="217"/>
      <c r="CR102" s="217"/>
      <c r="CS102" s="217"/>
      <c r="CT102" s="217"/>
      <c r="CU102" s="217"/>
      <c r="CV102" s="210"/>
      <c r="CX102" s="213"/>
      <c r="CY102" s="217"/>
      <c r="CZ102" s="217"/>
      <c r="DA102" s="217"/>
      <c r="DB102" s="217"/>
      <c r="DC102" s="217"/>
      <c r="DD102" s="217"/>
      <c r="DE102" s="217"/>
      <c r="DF102" s="217"/>
      <c r="DG102" s="217"/>
      <c r="DH102" s="217"/>
      <c r="DI102" s="217"/>
      <c r="DJ102" s="217"/>
      <c r="DK102" s="217"/>
      <c r="DL102" s="217"/>
      <c r="DM102" s="217"/>
      <c r="DN102" s="217"/>
      <c r="DO102" s="217"/>
      <c r="DP102" s="217"/>
      <c r="DQ102" s="217"/>
      <c r="DR102" s="217"/>
      <c r="DS102" s="217"/>
      <c r="DT102" s="217"/>
      <c r="DU102" s="217"/>
      <c r="DV102" s="217"/>
      <c r="DW102" s="217"/>
      <c r="DX102" s="217"/>
      <c r="DY102" s="217"/>
      <c r="DZ102" s="217"/>
      <c r="EA102" s="217"/>
      <c r="EB102" s="217"/>
      <c r="EC102" s="221">
        <f>SUM(EC5:EC100)/4000</f>
        <v>25.212273131944439</v>
      </c>
      <c r="ED102" s="236" t="s">
        <v>246</v>
      </c>
      <c r="EE102" s="217"/>
      <c r="EF102" s="217"/>
      <c r="EG102" s="217"/>
      <c r="EH102" s="217"/>
      <c r="EI102" s="217"/>
      <c r="EJ102" s="221">
        <f>SUM(EJ5:EJ100)/4000</f>
        <v>33.440290652777783</v>
      </c>
      <c r="EK102" s="236" t="s">
        <v>246</v>
      </c>
      <c r="EL102" s="217"/>
      <c r="EM102" s="217"/>
      <c r="EN102" s="217"/>
      <c r="EO102" s="217"/>
      <c r="EP102" s="217"/>
      <c r="EQ102" s="217"/>
      <c r="ER102" s="210"/>
    </row>
    <row r="103" spans="1:148" x14ac:dyDescent="0.3">
      <c r="B103" s="332" t="s">
        <v>247</v>
      </c>
      <c r="C103" s="333"/>
      <c r="D103" s="334"/>
    </row>
    <row r="104" spans="1:148" x14ac:dyDescent="0.3">
      <c r="B104" s="262">
        <f>SUM(B6:B101)/4000</f>
        <v>0</v>
      </c>
      <c r="C104" s="262">
        <f>SUM(C6:C101)/4000</f>
        <v>0</v>
      </c>
      <c r="D104" s="262">
        <f>SUM(D6:D101)/4000</f>
        <v>0</v>
      </c>
    </row>
    <row r="105" spans="1:148" x14ac:dyDescent="0.3">
      <c r="EC105" s="268"/>
      <c r="ED105" s="268"/>
      <c r="EE105" s="268"/>
      <c r="EF105" s="268"/>
      <c r="EG105" s="268"/>
      <c r="EH105" s="268"/>
      <c r="EI105" s="268"/>
      <c r="EJ105" s="268"/>
    </row>
  </sheetData>
  <mergeCells count="28">
    <mergeCell ref="B103:D103"/>
    <mergeCell ref="AO2:AT2"/>
    <mergeCell ref="AV3:AW3"/>
    <mergeCell ref="AY3:AZ3"/>
    <mergeCell ref="BB2:BG2"/>
    <mergeCell ref="EQ3:ER3"/>
    <mergeCell ref="EN3:EO3"/>
    <mergeCell ref="CR3:CS3"/>
    <mergeCell ref="CU3:CV3"/>
    <mergeCell ref="BP2:BU2"/>
    <mergeCell ref="DZ2:EE2"/>
    <mergeCell ref="EG2:EL2"/>
    <mergeCell ref="BB1:CV1"/>
    <mergeCell ref="F1:AZ1"/>
    <mergeCell ref="DE2:DJ2"/>
    <mergeCell ref="DL2:DQ2"/>
    <mergeCell ref="DS2:DX2"/>
    <mergeCell ref="BW2:CB2"/>
    <mergeCell ref="CD2:CI2"/>
    <mergeCell ref="CK2:CP2"/>
    <mergeCell ref="CX2:DC2"/>
    <mergeCell ref="F2:K2"/>
    <mergeCell ref="M2:R2"/>
    <mergeCell ref="T2:Y2"/>
    <mergeCell ref="AA2:AF2"/>
    <mergeCell ref="CX1:ER1"/>
    <mergeCell ref="BI2:BN2"/>
    <mergeCell ref="AH2:AM2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DQ1000"/>
  <sheetViews>
    <sheetView zoomScale="80" zoomScaleNormal="80" workbookViewId="0">
      <pane xSplit="2" topLeftCell="C1" activePane="topRight" state="frozen"/>
      <selection pane="topRight"/>
    </sheetView>
  </sheetViews>
  <sheetFormatPr defaultColWidth="14.44140625" defaultRowHeight="15" customHeight="1" x14ac:dyDescent="0.3"/>
  <cols>
    <col min="1" max="1" width="8.6640625" customWidth="1"/>
    <col min="2" max="2" width="12.77734375" customWidth="1"/>
    <col min="3" max="3" width="8.6640625" customWidth="1"/>
    <col min="4" max="117" width="10.77734375" customWidth="1"/>
  </cols>
  <sheetData>
    <row r="1" spans="2:121" ht="14.25" customHeight="1" x14ac:dyDescent="0.3"/>
    <row r="2" spans="2:121" ht="14.25" customHeight="1" x14ac:dyDescent="0.3">
      <c r="D2" s="316"/>
      <c r="E2" s="317"/>
      <c r="F2" s="317"/>
      <c r="G2" s="317"/>
      <c r="H2" s="317"/>
      <c r="I2" s="317"/>
      <c r="J2" s="317"/>
      <c r="K2" s="317"/>
      <c r="L2" s="317"/>
      <c r="M2" s="317"/>
      <c r="N2" s="317"/>
      <c r="O2" s="317"/>
      <c r="P2" s="317"/>
      <c r="Q2" s="317"/>
      <c r="R2" s="317"/>
      <c r="S2" s="317"/>
      <c r="T2" s="317"/>
      <c r="U2" s="317"/>
      <c r="V2" s="317"/>
      <c r="W2" s="317"/>
      <c r="X2" s="317"/>
      <c r="Y2" s="317"/>
      <c r="Z2" s="317"/>
      <c r="AA2" s="317"/>
      <c r="AB2" s="317"/>
      <c r="AC2" s="317"/>
      <c r="AD2" s="317"/>
      <c r="AE2" s="317"/>
      <c r="AF2" s="317"/>
      <c r="AG2" s="317"/>
      <c r="AH2" s="317"/>
      <c r="AI2" s="317"/>
      <c r="AJ2" s="317"/>
      <c r="AK2" s="317"/>
      <c r="AL2" s="317"/>
      <c r="AM2" s="317"/>
      <c r="AN2" s="317"/>
      <c r="AO2" s="317"/>
      <c r="AP2" s="317"/>
      <c r="AQ2" s="317"/>
      <c r="AR2" s="317"/>
      <c r="AS2" s="317"/>
      <c r="AT2" s="317"/>
      <c r="AU2" s="317"/>
      <c r="AV2" s="317"/>
      <c r="AW2" s="317"/>
      <c r="AX2" s="317"/>
      <c r="AY2" s="317"/>
      <c r="AZ2" s="317"/>
      <c r="BA2" s="317"/>
      <c r="BB2" s="317"/>
      <c r="BC2" s="317"/>
      <c r="BD2" s="317"/>
      <c r="BE2" s="317"/>
      <c r="BF2" s="317"/>
      <c r="BG2" s="317"/>
      <c r="BH2" s="317"/>
      <c r="BI2" s="317"/>
      <c r="BJ2" s="317"/>
      <c r="BK2" s="317"/>
      <c r="BL2" s="317"/>
      <c r="BM2" s="317"/>
      <c r="BN2" s="317"/>
      <c r="BO2" s="317"/>
      <c r="BP2" s="317"/>
      <c r="BQ2" s="317"/>
      <c r="BR2" s="317"/>
      <c r="BS2" s="317"/>
      <c r="BT2" s="317"/>
      <c r="BU2" s="317"/>
      <c r="BV2" s="317"/>
      <c r="BW2" s="317"/>
      <c r="BX2" s="317"/>
      <c r="BY2" s="317"/>
      <c r="BZ2" s="317"/>
      <c r="CA2" s="317"/>
      <c r="CB2" s="317"/>
      <c r="CC2" s="317"/>
      <c r="CD2" s="317"/>
      <c r="CE2" s="317"/>
      <c r="CF2" s="317"/>
      <c r="CG2" s="317"/>
      <c r="CH2" s="317"/>
      <c r="CI2" s="317"/>
      <c r="CJ2" s="317"/>
      <c r="CK2" s="317"/>
      <c r="CL2" s="317"/>
      <c r="CM2" s="317"/>
      <c r="CN2" s="317"/>
      <c r="CO2" s="317"/>
      <c r="CP2" s="317"/>
      <c r="CQ2" s="317"/>
      <c r="CR2" s="317"/>
      <c r="CS2" s="317"/>
      <c r="CT2" s="317"/>
      <c r="CU2" s="317"/>
      <c r="CV2" s="317"/>
      <c r="CW2" s="317"/>
      <c r="CX2" s="317"/>
      <c r="CY2" s="317"/>
      <c r="CZ2" s="317"/>
      <c r="DA2" s="317"/>
      <c r="DB2" s="317"/>
      <c r="DC2" s="317"/>
      <c r="DD2" s="317"/>
      <c r="DE2" s="317"/>
      <c r="DF2" s="317"/>
      <c r="DG2" s="317"/>
      <c r="DH2" s="317"/>
      <c r="DI2" s="317"/>
      <c r="DJ2" s="317"/>
      <c r="DK2" s="317"/>
      <c r="DL2" s="317"/>
      <c r="DM2" s="317"/>
      <c r="DN2" s="317"/>
      <c r="DO2" s="317"/>
      <c r="DP2" s="317"/>
      <c r="DQ2" s="317"/>
    </row>
    <row r="3" spans="2:121" s="5" customFormat="1" ht="72" x14ac:dyDescent="0.3">
      <c r="B3" s="8" t="s">
        <v>48</v>
      </c>
      <c r="D3" s="9" t="s">
        <v>49</v>
      </c>
      <c r="E3" s="9" t="s">
        <v>50</v>
      </c>
      <c r="F3" s="9" t="s">
        <v>51</v>
      </c>
      <c r="G3" s="9" t="s">
        <v>52</v>
      </c>
      <c r="H3" s="9" t="s">
        <v>53</v>
      </c>
      <c r="I3" s="9" t="s">
        <v>192</v>
      </c>
      <c r="J3" s="9" t="s">
        <v>54</v>
      </c>
      <c r="K3" s="9" t="s">
        <v>34</v>
      </c>
      <c r="L3" s="9" t="s">
        <v>12</v>
      </c>
      <c r="M3" s="9" t="s">
        <v>55</v>
      </c>
      <c r="N3" s="9" t="s">
        <v>56</v>
      </c>
      <c r="O3" s="9" t="s">
        <v>57</v>
      </c>
      <c r="P3" s="9" t="s">
        <v>58</v>
      </c>
      <c r="Q3" s="9" t="s">
        <v>59</v>
      </c>
      <c r="R3" s="9" t="s">
        <v>28</v>
      </c>
      <c r="S3" s="9" t="s">
        <v>60</v>
      </c>
      <c r="T3" s="9" t="s">
        <v>61</v>
      </c>
      <c r="U3" s="9" t="s">
        <v>32</v>
      </c>
      <c r="V3" s="9" t="s">
        <v>62</v>
      </c>
      <c r="W3" s="9" t="s">
        <v>63</v>
      </c>
      <c r="X3" s="9" t="s">
        <v>21</v>
      </c>
      <c r="Y3" s="9" t="s">
        <v>64</v>
      </c>
      <c r="Z3" s="9" t="s">
        <v>223</v>
      </c>
      <c r="AA3" s="9" t="s">
        <v>189</v>
      </c>
      <c r="AB3" s="9" t="s">
        <v>65</v>
      </c>
      <c r="AC3" s="9" t="s">
        <v>66</v>
      </c>
      <c r="AD3" s="9" t="s">
        <v>22</v>
      </c>
      <c r="AE3" s="9" t="s">
        <v>67</v>
      </c>
      <c r="AF3" s="9" t="s">
        <v>16</v>
      </c>
      <c r="AG3" s="9" t="s">
        <v>17</v>
      </c>
      <c r="AH3" s="9" t="s">
        <v>68</v>
      </c>
      <c r="AI3" s="9" t="s">
        <v>18</v>
      </c>
      <c r="AJ3" s="9" t="s">
        <v>69</v>
      </c>
      <c r="AK3" s="9" t="s">
        <v>23</v>
      </c>
      <c r="AL3" s="9" t="s">
        <v>70</v>
      </c>
      <c r="AM3" s="9" t="s">
        <v>71</v>
      </c>
      <c r="AN3" s="9" t="s">
        <v>72</v>
      </c>
      <c r="AO3" s="9" t="s">
        <v>73</v>
      </c>
      <c r="AP3" s="9" t="s">
        <v>74</v>
      </c>
      <c r="AQ3" s="9" t="s">
        <v>75</v>
      </c>
      <c r="AR3" s="9" t="s">
        <v>76</v>
      </c>
      <c r="AS3" s="9" t="s">
        <v>77</v>
      </c>
      <c r="AT3" s="9" t="s">
        <v>35</v>
      </c>
      <c r="AU3" s="9" t="s">
        <v>78</v>
      </c>
      <c r="AV3" s="9" t="s">
        <v>79</v>
      </c>
      <c r="AW3" s="9" t="s">
        <v>80</v>
      </c>
      <c r="AX3" s="9" t="s">
        <v>81</v>
      </c>
      <c r="AY3" s="9" t="s">
        <v>82</v>
      </c>
      <c r="AZ3" s="9" t="s">
        <v>83</v>
      </c>
      <c r="BA3" s="9" t="s">
        <v>84</v>
      </c>
      <c r="BB3" s="9" t="s">
        <v>85</v>
      </c>
      <c r="BC3" s="9" t="s">
        <v>36</v>
      </c>
      <c r="BD3" s="9" t="s">
        <v>29</v>
      </c>
      <c r="BE3" s="9" t="s">
        <v>13</v>
      </c>
      <c r="BF3" s="9" t="s">
        <v>86</v>
      </c>
      <c r="BG3" s="9" t="s">
        <v>42</v>
      </c>
      <c r="BH3" s="9" t="s">
        <v>87</v>
      </c>
      <c r="BI3" s="9" t="s">
        <v>88</v>
      </c>
      <c r="BJ3" s="9" t="s">
        <v>89</v>
      </c>
      <c r="BK3" s="9" t="s">
        <v>90</v>
      </c>
      <c r="BL3" s="9" t="s">
        <v>39</v>
      </c>
      <c r="BM3" s="9" t="s">
        <v>40</v>
      </c>
      <c r="BN3" s="9" t="s">
        <v>191</v>
      </c>
      <c r="BO3" s="9" t="s">
        <v>19</v>
      </c>
      <c r="BP3" s="9" t="s">
        <v>91</v>
      </c>
      <c r="BQ3" s="9" t="s">
        <v>92</v>
      </c>
      <c r="BR3" s="9" t="s">
        <v>43</v>
      </c>
      <c r="BS3" s="9" t="s">
        <v>93</v>
      </c>
      <c r="BT3" s="9" t="s">
        <v>94</v>
      </c>
      <c r="BU3" s="9" t="s">
        <v>95</v>
      </c>
      <c r="BV3" s="9" t="s">
        <v>96</v>
      </c>
      <c r="BW3" s="9" t="s">
        <v>97</v>
      </c>
      <c r="BX3" s="9" t="s">
        <v>98</v>
      </c>
      <c r="BY3" s="9" t="s">
        <v>14</v>
      </c>
      <c r="BZ3" s="9" t="s">
        <v>101</v>
      </c>
      <c r="CA3" s="9" t="s">
        <v>100</v>
      </c>
      <c r="CB3" s="9" t="s">
        <v>99</v>
      </c>
      <c r="CC3" s="9" t="s">
        <v>102</v>
      </c>
      <c r="CD3" s="9" t="s">
        <v>24</v>
      </c>
      <c r="CE3" s="9" t="s">
        <v>103</v>
      </c>
      <c r="CF3" s="9" t="s">
        <v>104</v>
      </c>
      <c r="CG3" s="9" t="s">
        <v>190</v>
      </c>
      <c r="CH3" s="9" t="s">
        <v>37</v>
      </c>
      <c r="CI3" s="9" t="s">
        <v>105</v>
      </c>
      <c r="CJ3" s="9" t="s">
        <v>106</v>
      </c>
      <c r="CK3" s="9" t="s">
        <v>107</v>
      </c>
      <c r="CL3" s="9" t="s">
        <v>108</v>
      </c>
      <c r="CM3" s="9" t="s">
        <v>109</v>
      </c>
      <c r="CN3" s="9" t="s">
        <v>110</v>
      </c>
      <c r="CO3" s="9" t="s">
        <v>30</v>
      </c>
      <c r="CP3" s="9" t="s">
        <v>111</v>
      </c>
      <c r="CQ3" s="9" t="s">
        <v>112</v>
      </c>
      <c r="CR3" s="9" t="s">
        <v>113</v>
      </c>
      <c r="CS3" s="9" t="s">
        <v>114</v>
      </c>
      <c r="CT3" s="9" t="s">
        <v>25</v>
      </c>
      <c r="CU3" s="9" t="s">
        <v>115</v>
      </c>
      <c r="CV3" s="9" t="s">
        <v>116</v>
      </c>
      <c r="CW3" s="9" t="s">
        <v>117</v>
      </c>
      <c r="CX3" s="9" t="s">
        <v>26</v>
      </c>
      <c r="CY3" s="9" t="s">
        <v>118</v>
      </c>
      <c r="CZ3" s="9" t="s">
        <v>44</v>
      </c>
      <c r="DA3" s="9" t="s">
        <v>121</v>
      </c>
      <c r="DB3" s="9" t="s">
        <v>120</v>
      </c>
      <c r="DC3" s="9" t="s">
        <v>119</v>
      </c>
      <c r="DD3" s="9" t="s">
        <v>124</v>
      </c>
      <c r="DE3" s="9" t="s">
        <v>123</v>
      </c>
      <c r="DF3" s="9" t="s">
        <v>122</v>
      </c>
      <c r="DG3" s="9" t="s">
        <v>127</v>
      </c>
      <c r="DH3" s="9" t="s">
        <v>126</v>
      </c>
      <c r="DI3" s="9" t="s">
        <v>125</v>
      </c>
      <c r="DJ3" s="9" t="s">
        <v>129</v>
      </c>
      <c r="DK3" s="9" t="s">
        <v>128</v>
      </c>
      <c r="DL3" s="9" t="s">
        <v>130</v>
      </c>
      <c r="DM3" s="9" t="s">
        <v>131</v>
      </c>
      <c r="DN3" s="9" t="s">
        <v>132</v>
      </c>
      <c r="DO3" s="9" t="s">
        <v>133</v>
      </c>
      <c r="DP3" s="9" t="s">
        <v>134</v>
      </c>
      <c r="DQ3" s="9" t="s">
        <v>135</v>
      </c>
    </row>
    <row r="4" spans="2:121" ht="14.25" customHeight="1" x14ac:dyDescent="0.3">
      <c r="B4" s="3">
        <v>1.0416666666666666E-2</v>
      </c>
      <c r="D4" s="4"/>
      <c r="E4" s="4"/>
      <c r="F4" s="4"/>
      <c r="G4" s="4"/>
      <c r="H4" s="4"/>
      <c r="I4" s="4"/>
      <c r="J4" s="4"/>
      <c r="K4" s="4">
        <v>1</v>
      </c>
      <c r="L4" s="4">
        <v>1</v>
      </c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K4" s="4"/>
      <c r="BL4" s="4">
        <v>1</v>
      </c>
      <c r="BM4" s="4">
        <v>1</v>
      </c>
      <c r="BN4" s="4"/>
      <c r="BO4" s="4">
        <v>0.1</v>
      </c>
      <c r="BP4" s="4"/>
      <c r="BQ4" s="4"/>
      <c r="BR4" s="4">
        <v>1</v>
      </c>
      <c r="BS4" s="4"/>
      <c r="BT4" s="4"/>
      <c r="BU4" s="4"/>
      <c r="BV4" s="4"/>
      <c r="BW4" s="4"/>
      <c r="BX4" s="4"/>
      <c r="BY4" s="4"/>
      <c r="BZ4" s="4"/>
      <c r="CA4" s="4">
        <v>0.1</v>
      </c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>
        <v>0.1</v>
      </c>
      <c r="DB4" s="4">
        <v>0.1</v>
      </c>
      <c r="DC4" s="4">
        <v>0.1</v>
      </c>
      <c r="DD4" s="4">
        <v>0.1</v>
      </c>
      <c r="DE4" s="4">
        <v>0.1</v>
      </c>
      <c r="DF4" s="4">
        <v>0.1</v>
      </c>
      <c r="DG4" s="4">
        <v>0.1</v>
      </c>
      <c r="DH4" s="4">
        <v>0.1</v>
      </c>
      <c r="DI4" s="4">
        <v>0.1</v>
      </c>
      <c r="DJ4" s="4">
        <v>0.1</v>
      </c>
      <c r="DK4" s="4">
        <v>0.1</v>
      </c>
      <c r="DL4" s="4">
        <v>0.1</v>
      </c>
      <c r="DM4" s="4"/>
      <c r="DN4" s="4"/>
      <c r="DO4" s="4"/>
      <c r="DP4" s="4"/>
    </row>
    <row r="5" spans="2:121" ht="14.25" customHeight="1" x14ac:dyDescent="0.3">
      <c r="B5" s="3">
        <v>2.0833333333333332E-2</v>
      </c>
      <c r="D5" s="4"/>
      <c r="E5" s="4"/>
      <c r="F5" s="4"/>
      <c r="G5" s="4"/>
      <c r="H5" s="4"/>
      <c r="I5" s="4"/>
      <c r="K5" s="4">
        <v>1</v>
      </c>
      <c r="L5" s="4">
        <v>1</v>
      </c>
      <c r="M5" s="4"/>
      <c r="N5" s="4"/>
      <c r="O5" s="4"/>
      <c r="P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K5" s="4"/>
      <c r="BL5" s="4">
        <v>1</v>
      </c>
      <c r="BM5" s="4">
        <v>1</v>
      </c>
      <c r="BN5" s="4"/>
      <c r="BO5" s="4">
        <v>0.1</v>
      </c>
      <c r="BP5" s="4"/>
      <c r="BQ5" s="4"/>
      <c r="BR5" s="4">
        <v>1</v>
      </c>
      <c r="BS5" s="4"/>
      <c r="BT5" s="4"/>
      <c r="BU5" s="4"/>
      <c r="BY5" s="1"/>
      <c r="BZ5" s="1"/>
      <c r="CA5" s="4">
        <v>0.1</v>
      </c>
      <c r="CB5" s="4"/>
      <c r="CC5" s="4"/>
      <c r="CD5" s="4"/>
      <c r="CE5" s="4"/>
      <c r="CF5" s="4"/>
      <c r="CG5" s="4"/>
      <c r="CH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Z5" s="4"/>
      <c r="DA5" s="4">
        <v>0.1</v>
      </c>
      <c r="DB5" s="4">
        <v>0.1</v>
      </c>
      <c r="DC5" s="4">
        <v>0.1</v>
      </c>
      <c r="DD5" s="4">
        <v>0.1</v>
      </c>
      <c r="DE5" s="4">
        <v>0.1</v>
      </c>
      <c r="DF5" s="4">
        <v>0.1</v>
      </c>
      <c r="DG5" s="4">
        <v>0.1</v>
      </c>
      <c r="DH5" s="4">
        <v>0.1</v>
      </c>
      <c r="DI5" s="4">
        <v>0.1</v>
      </c>
      <c r="DJ5" s="4">
        <v>0.1</v>
      </c>
      <c r="DK5" s="4">
        <v>0.1</v>
      </c>
      <c r="DL5" s="4">
        <v>0.1</v>
      </c>
      <c r="DM5" s="4"/>
    </row>
    <row r="6" spans="2:121" ht="14.25" customHeight="1" x14ac:dyDescent="0.3">
      <c r="B6" s="3">
        <v>3.125E-2</v>
      </c>
      <c r="D6" s="4"/>
      <c r="E6" s="4"/>
      <c r="F6" s="4"/>
      <c r="G6" s="4"/>
      <c r="H6" s="4"/>
      <c r="I6" s="4"/>
      <c r="K6" s="4">
        <v>1</v>
      </c>
      <c r="L6" s="4">
        <v>1</v>
      </c>
      <c r="M6" s="4"/>
      <c r="N6" s="4"/>
      <c r="O6" s="4"/>
      <c r="P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K6" s="4"/>
      <c r="BL6" s="4">
        <v>1</v>
      </c>
      <c r="BM6" s="4">
        <v>1</v>
      </c>
      <c r="BN6" s="4"/>
      <c r="BO6" s="4">
        <v>0.1</v>
      </c>
      <c r="BP6" s="4"/>
      <c r="BQ6" s="4"/>
      <c r="BR6" s="4">
        <v>1</v>
      </c>
      <c r="BS6" s="4"/>
      <c r="BT6" s="4"/>
      <c r="BU6" s="4"/>
      <c r="BY6" s="1"/>
      <c r="BZ6" s="1"/>
      <c r="CA6" s="4">
        <v>1</v>
      </c>
      <c r="CB6" s="4"/>
      <c r="CC6" s="4"/>
      <c r="CD6" s="4"/>
      <c r="CE6" s="4"/>
      <c r="CF6" s="4"/>
      <c r="CG6" s="4"/>
      <c r="CH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Z6" s="4"/>
      <c r="DA6" s="4">
        <v>0.1</v>
      </c>
      <c r="DB6" s="4">
        <v>0.1</v>
      </c>
      <c r="DC6" s="4">
        <v>0.1</v>
      </c>
      <c r="DD6" s="4">
        <v>0.1</v>
      </c>
      <c r="DE6" s="4">
        <v>0.1</v>
      </c>
      <c r="DF6" s="4">
        <v>0.1</v>
      </c>
      <c r="DG6" s="4">
        <v>0.1</v>
      </c>
      <c r="DH6" s="4">
        <v>0.1</v>
      </c>
      <c r="DI6" s="4">
        <v>0.1</v>
      </c>
      <c r="DJ6" s="4">
        <v>0.1</v>
      </c>
      <c r="DK6" s="4">
        <v>0.1</v>
      </c>
      <c r="DL6" s="4">
        <v>0.1</v>
      </c>
      <c r="DM6" s="4"/>
    </row>
    <row r="7" spans="2:121" ht="14.25" customHeight="1" x14ac:dyDescent="0.3">
      <c r="B7" s="3">
        <v>4.1666666666666664E-2</v>
      </c>
      <c r="D7" s="4"/>
      <c r="E7" s="4"/>
      <c r="F7" s="4"/>
      <c r="G7" s="4"/>
      <c r="H7" s="4"/>
      <c r="I7" s="4"/>
      <c r="K7" s="4">
        <v>1</v>
      </c>
      <c r="L7" s="4">
        <v>1</v>
      </c>
      <c r="M7" s="4"/>
      <c r="N7" s="4"/>
      <c r="O7" s="4"/>
      <c r="P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K7" s="4"/>
      <c r="BL7" s="4">
        <v>1</v>
      </c>
      <c r="BM7" s="4">
        <v>1</v>
      </c>
      <c r="BN7" s="4"/>
      <c r="BO7" s="4">
        <v>0.1</v>
      </c>
      <c r="BP7" s="4"/>
      <c r="BQ7" s="4"/>
      <c r="BR7" s="4">
        <v>1</v>
      </c>
      <c r="BS7" s="4"/>
      <c r="BT7" s="4"/>
      <c r="BU7" s="4"/>
      <c r="BY7" s="1"/>
      <c r="BZ7" s="1"/>
      <c r="CA7" s="4">
        <v>1</v>
      </c>
      <c r="CB7" s="4"/>
      <c r="CC7" s="4"/>
      <c r="CD7" s="4"/>
      <c r="CE7" s="4"/>
      <c r="CF7" s="4"/>
      <c r="CG7" s="4"/>
      <c r="CH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Z7" s="4"/>
      <c r="DA7" s="4">
        <v>0.1</v>
      </c>
      <c r="DB7" s="4">
        <v>0.1</v>
      </c>
      <c r="DC7" s="4">
        <v>0.1</v>
      </c>
      <c r="DD7" s="4">
        <v>0.1</v>
      </c>
      <c r="DE7" s="4">
        <v>0.1</v>
      </c>
      <c r="DF7" s="4">
        <v>0.1</v>
      </c>
      <c r="DG7" s="4">
        <v>0.1</v>
      </c>
      <c r="DH7" s="4">
        <v>0.1</v>
      </c>
      <c r="DI7" s="4">
        <v>0.1</v>
      </c>
      <c r="DJ7" s="4">
        <v>0.1</v>
      </c>
      <c r="DK7" s="4">
        <v>0.1</v>
      </c>
      <c r="DL7" s="4">
        <v>0.1</v>
      </c>
      <c r="DM7" s="4"/>
    </row>
    <row r="8" spans="2:121" ht="14.25" customHeight="1" x14ac:dyDescent="0.3">
      <c r="B8" s="3">
        <v>5.2083333333333336E-2</v>
      </c>
      <c r="D8" s="4"/>
      <c r="E8" s="4"/>
      <c r="F8" s="4"/>
      <c r="G8" s="4"/>
      <c r="H8" s="4"/>
      <c r="I8" s="4"/>
      <c r="K8" s="4">
        <v>1</v>
      </c>
      <c r="L8" s="4">
        <v>1</v>
      </c>
      <c r="M8" s="4"/>
      <c r="N8" s="4"/>
      <c r="O8" s="4"/>
      <c r="P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K8" s="4"/>
      <c r="BL8" s="4">
        <v>0.1</v>
      </c>
      <c r="BM8" s="4">
        <v>0.1</v>
      </c>
      <c r="BN8" s="4"/>
      <c r="BO8" s="4">
        <v>0.1</v>
      </c>
      <c r="BP8" s="4"/>
      <c r="BQ8" s="4"/>
      <c r="BR8" s="4">
        <v>1</v>
      </c>
      <c r="BS8" s="4"/>
      <c r="BT8" s="4"/>
      <c r="BU8" s="4"/>
      <c r="BY8" s="1"/>
      <c r="BZ8" s="1"/>
      <c r="CA8" s="4">
        <v>0.1</v>
      </c>
      <c r="CB8" s="4"/>
      <c r="CC8" s="4"/>
      <c r="CD8" s="4"/>
      <c r="CE8" s="4"/>
      <c r="CF8" s="4"/>
      <c r="CG8" s="4"/>
      <c r="CH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Z8" s="4"/>
      <c r="DA8" s="4">
        <v>0.1</v>
      </c>
      <c r="DB8" s="4">
        <v>0.1</v>
      </c>
      <c r="DC8" s="4">
        <v>0.1</v>
      </c>
      <c r="DD8" s="4">
        <v>0.1</v>
      </c>
      <c r="DE8" s="4">
        <v>0.1</v>
      </c>
      <c r="DF8" s="4">
        <v>0.1</v>
      </c>
      <c r="DG8" s="4">
        <v>0.1</v>
      </c>
      <c r="DH8" s="4">
        <v>0.1</v>
      </c>
      <c r="DI8" s="4">
        <v>0.1</v>
      </c>
      <c r="DJ8" s="4">
        <v>0.1</v>
      </c>
      <c r="DK8" s="4">
        <v>0.1</v>
      </c>
      <c r="DL8" s="4">
        <v>0.1</v>
      </c>
      <c r="DM8" s="4"/>
    </row>
    <row r="9" spans="2:121" ht="14.25" customHeight="1" x14ac:dyDescent="0.3">
      <c r="B9" s="3">
        <v>6.25E-2</v>
      </c>
      <c r="D9" s="4"/>
      <c r="E9" s="4"/>
      <c r="F9" s="4"/>
      <c r="G9" s="4"/>
      <c r="H9" s="4"/>
      <c r="I9" s="4"/>
      <c r="K9" s="4">
        <v>1</v>
      </c>
      <c r="L9" s="4">
        <v>1</v>
      </c>
      <c r="M9" s="4"/>
      <c r="N9" s="4"/>
      <c r="O9" s="4"/>
      <c r="P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K9" s="4"/>
      <c r="BL9" s="4">
        <v>0.1</v>
      </c>
      <c r="BM9" s="4">
        <v>0.1</v>
      </c>
      <c r="BN9" s="4"/>
      <c r="BO9" s="4">
        <v>0.1</v>
      </c>
      <c r="BP9" s="4"/>
      <c r="BQ9" s="4"/>
      <c r="BR9" s="4">
        <v>1</v>
      </c>
      <c r="BS9" s="4"/>
      <c r="BT9" s="4"/>
      <c r="BU9" s="4"/>
      <c r="BY9" s="1"/>
      <c r="BZ9" s="1"/>
      <c r="CA9" s="4">
        <v>0.1</v>
      </c>
      <c r="CB9" s="4"/>
      <c r="CC9" s="4"/>
      <c r="CD9" s="4"/>
      <c r="CE9" s="4"/>
      <c r="CF9" s="4"/>
      <c r="CG9" s="4"/>
      <c r="CH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Z9" s="4"/>
      <c r="DA9" s="4">
        <v>0.1</v>
      </c>
      <c r="DB9" s="4">
        <v>0.1</v>
      </c>
      <c r="DC9" s="4">
        <v>0.1</v>
      </c>
      <c r="DD9" s="4">
        <v>0.1</v>
      </c>
      <c r="DE9" s="4">
        <v>0.1</v>
      </c>
      <c r="DF9" s="4">
        <v>0.1</v>
      </c>
      <c r="DG9" s="4">
        <v>0.1</v>
      </c>
      <c r="DH9" s="4">
        <v>0.1</v>
      </c>
      <c r="DI9" s="4">
        <v>0.1</v>
      </c>
      <c r="DJ9" s="4">
        <v>0.1</v>
      </c>
      <c r="DK9" s="4">
        <v>0.1</v>
      </c>
      <c r="DL9" s="4">
        <v>0.1</v>
      </c>
      <c r="DM9" s="4"/>
    </row>
    <row r="10" spans="2:121" ht="14.25" customHeight="1" x14ac:dyDescent="0.3">
      <c r="B10" s="3">
        <v>7.2916666666666699E-2</v>
      </c>
      <c r="D10" s="4"/>
      <c r="E10" s="4"/>
      <c r="F10" s="4"/>
      <c r="G10" s="4"/>
      <c r="H10" s="4"/>
      <c r="I10" s="4"/>
      <c r="K10" s="4">
        <v>1</v>
      </c>
      <c r="L10" s="4">
        <v>1</v>
      </c>
      <c r="M10" s="4"/>
      <c r="N10" s="4"/>
      <c r="O10" s="4"/>
      <c r="P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K10" s="4"/>
      <c r="BL10" s="4">
        <v>0.1</v>
      </c>
      <c r="BM10" s="4">
        <v>0.1</v>
      </c>
      <c r="BN10" s="4"/>
      <c r="BO10" s="4">
        <v>0.1</v>
      </c>
      <c r="BP10" s="4"/>
      <c r="BQ10" s="4"/>
      <c r="BR10" s="4">
        <v>1</v>
      </c>
      <c r="BS10" s="4"/>
      <c r="BT10" s="4"/>
      <c r="BU10" s="4"/>
      <c r="BY10" s="1"/>
      <c r="BZ10" s="1"/>
      <c r="CA10" s="149">
        <v>1</v>
      </c>
      <c r="CB10" s="4"/>
      <c r="CC10" s="4"/>
      <c r="CD10" s="4"/>
      <c r="CE10" s="4"/>
      <c r="CF10" s="4"/>
      <c r="CG10" s="4"/>
      <c r="CH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Z10" s="4"/>
      <c r="DA10" s="4">
        <v>0.1</v>
      </c>
      <c r="DB10" s="4">
        <v>0.1</v>
      </c>
      <c r="DC10" s="4">
        <v>0.1</v>
      </c>
      <c r="DD10" s="4">
        <v>0.1</v>
      </c>
      <c r="DE10" s="4">
        <v>0.1</v>
      </c>
      <c r="DF10" s="4">
        <v>0.1</v>
      </c>
      <c r="DG10" s="4">
        <v>0.1</v>
      </c>
      <c r="DH10" s="4">
        <v>0.1</v>
      </c>
      <c r="DI10" s="4">
        <v>0.1</v>
      </c>
      <c r="DJ10" s="4">
        <v>0.1</v>
      </c>
      <c r="DK10" s="4">
        <v>0.1</v>
      </c>
      <c r="DL10" s="4">
        <v>0.1</v>
      </c>
      <c r="DM10" s="4"/>
    </row>
    <row r="11" spans="2:121" ht="14.25" customHeight="1" x14ac:dyDescent="0.3">
      <c r="B11" s="3">
        <v>8.3333333333333398E-2</v>
      </c>
      <c r="D11" s="4"/>
      <c r="E11" s="4"/>
      <c r="F11" s="4"/>
      <c r="G11" s="4"/>
      <c r="H11" s="4"/>
      <c r="I11" s="4"/>
      <c r="K11" s="4">
        <v>1</v>
      </c>
      <c r="L11" s="4">
        <v>1</v>
      </c>
      <c r="M11" s="4"/>
      <c r="N11" s="4"/>
      <c r="O11" s="4"/>
      <c r="P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K11" s="4"/>
      <c r="BL11" s="4">
        <v>0.1</v>
      </c>
      <c r="BM11" s="4">
        <v>0.1</v>
      </c>
      <c r="BN11" s="4"/>
      <c r="BO11" s="4">
        <v>0.1</v>
      </c>
      <c r="BP11" s="4"/>
      <c r="BQ11" s="4"/>
      <c r="BR11" s="4">
        <v>1</v>
      </c>
      <c r="BS11" s="4"/>
      <c r="BT11" s="4"/>
      <c r="BU11" s="4"/>
      <c r="BY11" s="1"/>
      <c r="BZ11" s="1"/>
      <c r="CA11" s="149">
        <v>1</v>
      </c>
      <c r="CB11" s="4"/>
      <c r="CC11" s="4"/>
      <c r="CD11" s="4"/>
      <c r="CE11" s="4"/>
      <c r="CF11" s="4"/>
      <c r="CG11" s="4"/>
      <c r="CH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Z11" s="4"/>
      <c r="DA11" s="4">
        <v>0.1</v>
      </c>
      <c r="DB11" s="4">
        <v>0.1</v>
      </c>
      <c r="DC11" s="4">
        <v>0.1</v>
      </c>
      <c r="DD11" s="4">
        <v>0.1</v>
      </c>
      <c r="DE11" s="4">
        <v>0.1</v>
      </c>
      <c r="DF11" s="4">
        <v>0.1</v>
      </c>
      <c r="DG11" s="4">
        <v>0.1</v>
      </c>
      <c r="DH11" s="4">
        <v>0.1</v>
      </c>
      <c r="DI11" s="4">
        <v>0.1</v>
      </c>
      <c r="DJ11" s="4">
        <v>0.1</v>
      </c>
      <c r="DK11" s="4">
        <v>0.1</v>
      </c>
      <c r="DL11" s="4">
        <v>0.1</v>
      </c>
      <c r="DM11" s="4"/>
    </row>
    <row r="12" spans="2:121" ht="14.25" customHeight="1" x14ac:dyDescent="0.3">
      <c r="B12" s="3">
        <v>9.375E-2</v>
      </c>
      <c r="D12" s="4"/>
      <c r="E12" s="4"/>
      <c r="F12" s="4"/>
      <c r="G12" s="4"/>
      <c r="H12" s="4"/>
      <c r="I12" s="4"/>
      <c r="K12" s="4">
        <v>1</v>
      </c>
      <c r="L12" s="4">
        <v>1</v>
      </c>
      <c r="M12" s="4"/>
      <c r="N12" s="4"/>
      <c r="O12" s="4"/>
      <c r="P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K12" s="4"/>
      <c r="BL12" s="4">
        <v>0.1</v>
      </c>
      <c r="BM12" s="4">
        <v>0.1</v>
      </c>
      <c r="BN12" s="4"/>
      <c r="BO12" s="4">
        <v>0.1</v>
      </c>
      <c r="BP12" s="4"/>
      <c r="BQ12" s="4"/>
      <c r="BR12" s="4">
        <v>1</v>
      </c>
      <c r="BS12" s="4"/>
      <c r="BT12" s="4"/>
      <c r="BU12" s="4"/>
      <c r="BY12" s="1"/>
      <c r="BZ12" s="1"/>
      <c r="CA12" s="4">
        <v>0.1</v>
      </c>
      <c r="CB12" s="4"/>
      <c r="CC12" s="4"/>
      <c r="CD12" s="4"/>
      <c r="CE12" s="4"/>
      <c r="CF12" s="4"/>
      <c r="CG12" s="4"/>
      <c r="CH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Z12" s="4"/>
      <c r="DA12" s="4">
        <v>0.1</v>
      </c>
      <c r="DB12" s="4">
        <v>0.1</v>
      </c>
      <c r="DC12" s="4">
        <v>0.1</v>
      </c>
      <c r="DD12" s="4">
        <v>0.1</v>
      </c>
      <c r="DE12" s="4">
        <v>0.1</v>
      </c>
      <c r="DF12" s="4">
        <v>0.1</v>
      </c>
      <c r="DG12" s="4">
        <v>0.1</v>
      </c>
      <c r="DH12" s="4">
        <v>0.1</v>
      </c>
      <c r="DI12" s="4">
        <v>0.1</v>
      </c>
      <c r="DJ12" s="4">
        <v>0.1</v>
      </c>
      <c r="DK12" s="4">
        <v>0.1</v>
      </c>
      <c r="DL12" s="4">
        <v>0.1</v>
      </c>
      <c r="DM12" s="4"/>
    </row>
    <row r="13" spans="2:121" ht="14.25" customHeight="1" x14ac:dyDescent="0.3">
      <c r="B13" s="3">
        <v>0.104166666666667</v>
      </c>
      <c r="D13" s="4"/>
      <c r="E13" s="4"/>
      <c r="F13" s="4"/>
      <c r="G13" s="4"/>
      <c r="H13" s="4"/>
      <c r="I13" s="4"/>
      <c r="K13" s="4">
        <v>1</v>
      </c>
      <c r="L13" s="4">
        <v>1</v>
      </c>
      <c r="M13" s="4"/>
      <c r="N13" s="4"/>
      <c r="O13" s="4"/>
      <c r="P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K13" s="4"/>
      <c r="BL13" s="4">
        <v>0.1</v>
      </c>
      <c r="BM13" s="4">
        <v>0.1</v>
      </c>
      <c r="BN13" s="4"/>
      <c r="BO13" s="4">
        <v>0.1</v>
      </c>
      <c r="BP13" s="4"/>
      <c r="BQ13" s="4"/>
      <c r="BR13" s="4">
        <v>1</v>
      </c>
      <c r="BS13" s="4"/>
      <c r="BT13" s="4"/>
      <c r="BU13" s="4"/>
      <c r="BY13" s="1"/>
      <c r="BZ13" s="1"/>
      <c r="CA13" s="4">
        <v>0.1</v>
      </c>
      <c r="CB13" s="4"/>
      <c r="CC13" s="4"/>
      <c r="CD13" s="4"/>
      <c r="CE13" s="4"/>
      <c r="CF13" s="4"/>
      <c r="CG13" s="4"/>
      <c r="CH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Z13" s="4"/>
      <c r="DA13" s="4">
        <v>0.1</v>
      </c>
      <c r="DB13" s="4">
        <v>0.1</v>
      </c>
      <c r="DC13" s="4">
        <v>0.1</v>
      </c>
      <c r="DD13" s="4">
        <v>0.1</v>
      </c>
      <c r="DE13" s="4">
        <v>0.1</v>
      </c>
      <c r="DF13" s="4">
        <v>0.1</v>
      </c>
      <c r="DG13" s="4">
        <v>0.1</v>
      </c>
      <c r="DH13" s="4">
        <v>0.1</v>
      </c>
      <c r="DI13" s="4">
        <v>0.1</v>
      </c>
      <c r="DJ13" s="4">
        <v>0.1</v>
      </c>
      <c r="DK13" s="4">
        <v>0.1</v>
      </c>
      <c r="DL13" s="4">
        <v>0.1</v>
      </c>
      <c r="DM13" s="4"/>
    </row>
    <row r="14" spans="2:121" ht="14.25" customHeight="1" x14ac:dyDescent="0.3">
      <c r="B14" s="3">
        <v>0.11458333333333399</v>
      </c>
      <c r="D14" s="4"/>
      <c r="E14" s="4"/>
      <c r="F14" s="4"/>
      <c r="G14" s="4"/>
      <c r="H14" s="4"/>
      <c r="I14" s="4"/>
      <c r="K14" s="4">
        <v>1</v>
      </c>
      <c r="L14" s="4">
        <v>1</v>
      </c>
      <c r="M14" s="4"/>
      <c r="N14" s="4"/>
      <c r="O14" s="4"/>
      <c r="P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K14" s="4"/>
      <c r="BL14" s="4">
        <v>0.1</v>
      </c>
      <c r="BM14" s="4">
        <v>0.1</v>
      </c>
      <c r="BN14" s="4"/>
      <c r="BO14" s="4">
        <v>0.1</v>
      </c>
      <c r="BP14" s="4"/>
      <c r="BQ14" s="4"/>
      <c r="BR14" s="4">
        <v>1</v>
      </c>
      <c r="BS14" s="4"/>
      <c r="BT14" s="4"/>
      <c r="BU14" s="4"/>
      <c r="BY14" s="1"/>
      <c r="BZ14" s="1"/>
      <c r="CA14" s="4">
        <v>1</v>
      </c>
      <c r="CB14" s="4"/>
      <c r="CC14" s="4"/>
      <c r="CD14" s="4"/>
      <c r="CE14" s="4"/>
      <c r="CF14" s="4"/>
      <c r="CG14" s="4"/>
      <c r="CH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Z14" s="4"/>
      <c r="DA14" s="4">
        <v>0.1</v>
      </c>
      <c r="DB14" s="4">
        <v>0.1</v>
      </c>
      <c r="DC14" s="4">
        <v>0.1</v>
      </c>
      <c r="DD14" s="4">
        <v>0.1</v>
      </c>
      <c r="DE14" s="4">
        <v>0.1</v>
      </c>
      <c r="DF14" s="4">
        <v>0.1</v>
      </c>
      <c r="DG14" s="4">
        <v>0.1</v>
      </c>
      <c r="DH14" s="4">
        <v>0.1</v>
      </c>
      <c r="DI14" s="4">
        <v>0.1</v>
      </c>
      <c r="DJ14" s="4">
        <v>0.1</v>
      </c>
      <c r="DK14" s="4">
        <v>0.1</v>
      </c>
      <c r="DL14" s="4">
        <v>0.1</v>
      </c>
      <c r="DM14" s="4"/>
    </row>
    <row r="15" spans="2:121" ht="14.25" customHeight="1" x14ac:dyDescent="0.3">
      <c r="B15" s="3">
        <v>0.125</v>
      </c>
      <c r="D15" s="4"/>
      <c r="E15" s="4"/>
      <c r="F15" s="4"/>
      <c r="G15" s="4"/>
      <c r="H15" s="4"/>
      <c r="I15" s="4"/>
      <c r="K15" s="4">
        <v>1</v>
      </c>
      <c r="L15" s="4">
        <v>1</v>
      </c>
      <c r="M15" s="4"/>
      <c r="N15" s="4"/>
      <c r="O15" s="4"/>
      <c r="P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K15" s="4"/>
      <c r="BL15" s="4">
        <v>0.1</v>
      </c>
      <c r="BM15" s="4">
        <v>0.1</v>
      </c>
      <c r="BN15" s="4"/>
      <c r="BO15" s="4">
        <v>0.1</v>
      </c>
      <c r="BP15" s="4"/>
      <c r="BQ15" s="4"/>
      <c r="BR15" s="4">
        <v>1</v>
      </c>
      <c r="BS15" s="4"/>
      <c r="BT15" s="4"/>
      <c r="BU15" s="4"/>
      <c r="BY15" s="1"/>
      <c r="BZ15" s="1"/>
      <c r="CA15" s="4">
        <v>1</v>
      </c>
      <c r="CB15" s="4"/>
      <c r="CC15" s="4"/>
      <c r="CD15" s="4"/>
      <c r="CE15" s="4"/>
      <c r="CF15" s="4"/>
      <c r="CG15" s="4"/>
      <c r="CH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Z15" s="4"/>
      <c r="DA15" s="4">
        <v>0.1</v>
      </c>
      <c r="DB15" s="4">
        <v>0.1</v>
      </c>
      <c r="DC15" s="4">
        <v>0.1</v>
      </c>
      <c r="DD15" s="4">
        <v>0.1</v>
      </c>
      <c r="DE15" s="4">
        <v>0.1</v>
      </c>
      <c r="DF15" s="4">
        <v>0.1</v>
      </c>
      <c r="DG15" s="4">
        <v>0.1</v>
      </c>
      <c r="DH15" s="4">
        <v>0.1</v>
      </c>
      <c r="DI15" s="4">
        <v>0.1</v>
      </c>
      <c r="DJ15" s="4">
        <v>0.1</v>
      </c>
      <c r="DK15" s="4">
        <v>0.1</v>
      </c>
      <c r="DL15" s="4">
        <v>0.1</v>
      </c>
      <c r="DM15" s="4"/>
    </row>
    <row r="16" spans="2:121" ht="14.25" customHeight="1" x14ac:dyDescent="0.3">
      <c r="B16" s="3">
        <v>0.13541666666666699</v>
      </c>
      <c r="D16" s="4"/>
      <c r="E16" s="4"/>
      <c r="F16" s="4"/>
      <c r="G16" s="4"/>
      <c r="H16" s="4"/>
      <c r="I16" s="4"/>
      <c r="K16" s="4">
        <v>1</v>
      </c>
      <c r="L16" s="4">
        <v>1</v>
      </c>
      <c r="M16" s="4"/>
      <c r="N16" s="4"/>
      <c r="O16" s="4"/>
      <c r="P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K16" s="4"/>
      <c r="BL16" s="4">
        <v>0.1</v>
      </c>
      <c r="BM16" s="4">
        <v>0.1</v>
      </c>
      <c r="BN16" s="4"/>
      <c r="BO16" s="4">
        <v>0.1</v>
      </c>
      <c r="BP16" s="4"/>
      <c r="BQ16" s="4"/>
      <c r="BR16" s="4">
        <v>1</v>
      </c>
      <c r="BS16" s="4"/>
      <c r="BT16" s="4"/>
      <c r="BU16" s="4"/>
      <c r="BY16" s="1"/>
      <c r="BZ16" s="1"/>
      <c r="CA16" s="4">
        <v>0.1</v>
      </c>
      <c r="CB16" s="4"/>
      <c r="CC16" s="4"/>
      <c r="CD16" s="4"/>
      <c r="CE16" s="4"/>
      <c r="CF16" s="4"/>
      <c r="CG16" s="4"/>
      <c r="CH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Z16" s="4"/>
      <c r="DA16" s="4">
        <v>0.1</v>
      </c>
      <c r="DB16" s="4">
        <v>0.1</v>
      </c>
      <c r="DC16" s="4">
        <v>0.1</v>
      </c>
      <c r="DD16" s="4">
        <v>0.1</v>
      </c>
      <c r="DE16" s="4">
        <v>0.1</v>
      </c>
      <c r="DF16" s="4">
        <v>0.1</v>
      </c>
      <c r="DG16" s="4">
        <v>0.1</v>
      </c>
      <c r="DH16" s="4">
        <v>0.1</v>
      </c>
      <c r="DI16" s="4">
        <v>0.1</v>
      </c>
      <c r="DJ16" s="4">
        <v>0.1</v>
      </c>
      <c r="DK16" s="4">
        <v>0.1</v>
      </c>
      <c r="DL16" s="4">
        <v>0.1</v>
      </c>
      <c r="DM16" s="4"/>
    </row>
    <row r="17" spans="2:117" ht="14.25" customHeight="1" x14ac:dyDescent="0.3">
      <c r="B17" s="3">
        <v>0.14583333333333401</v>
      </c>
      <c r="D17" s="4"/>
      <c r="E17" s="4"/>
      <c r="F17" s="4"/>
      <c r="G17" s="4"/>
      <c r="H17" s="4"/>
      <c r="I17" s="4"/>
      <c r="K17" s="4">
        <v>1</v>
      </c>
      <c r="L17" s="4">
        <v>1</v>
      </c>
      <c r="M17" s="4"/>
      <c r="N17" s="4"/>
      <c r="O17" s="4"/>
      <c r="P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K17" s="4"/>
      <c r="BL17" s="4">
        <v>0.1</v>
      </c>
      <c r="BM17" s="4">
        <v>0.1</v>
      </c>
      <c r="BN17" s="4"/>
      <c r="BO17" s="4">
        <v>0.1</v>
      </c>
      <c r="BP17" s="4"/>
      <c r="BQ17" s="4"/>
      <c r="BR17" s="4">
        <v>1</v>
      </c>
      <c r="BS17" s="4"/>
      <c r="BT17" s="4"/>
      <c r="BU17" s="4"/>
      <c r="BY17" s="1"/>
      <c r="BZ17" s="1"/>
      <c r="CA17" s="4">
        <v>0.1</v>
      </c>
      <c r="CB17" s="4"/>
      <c r="CC17" s="4"/>
      <c r="CD17" s="4"/>
      <c r="CE17" s="4"/>
      <c r="CF17" s="4"/>
      <c r="CG17" s="4"/>
      <c r="CH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Z17" s="4"/>
      <c r="DA17" s="4">
        <v>0.1</v>
      </c>
      <c r="DB17" s="4">
        <v>0.1</v>
      </c>
      <c r="DC17" s="4">
        <v>0.1</v>
      </c>
      <c r="DD17" s="4">
        <v>0.1</v>
      </c>
      <c r="DE17" s="4">
        <v>0.1</v>
      </c>
      <c r="DF17" s="4">
        <v>0.1</v>
      </c>
      <c r="DG17" s="4">
        <v>0.1</v>
      </c>
      <c r="DH17" s="4">
        <v>0.1</v>
      </c>
      <c r="DI17" s="4">
        <v>0.1</v>
      </c>
      <c r="DJ17" s="4">
        <v>0.1</v>
      </c>
      <c r="DK17" s="4">
        <v>0.1</v>
      </c>
      <c r="DL17" s="4">
        <v>0.1</v>
      </c>
      <c r="DM17" s="4"/>
    </row>
    <row r="18" spans="2:117" ht="14.25" customHeight="1" x14ac:dyDescent="0.3">
      <c r="B18" s="3">
        <v>0.15625</v>
      </c>
      <c r="D18" s="4"/>
      <c r="E18" s="4"/>
      <c r="F18" s="4"/>
      <c r="G18" s="4"/>
      <c r="H18" s="4"/>
      <c r="I18" s="4"/>
      <c r="K18" s="4">
        <v>1</v>
      </c>
      <c r="L18" s="4">
        <v>1</v>
      </c>
      <c r="M18" s="4"/>
      <c r="N18" s="4"/>
      <c r="O18" s="4"/>
      <c r="P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K18" s="4"/>
      <c r="BL18" s="4">
        <v>0.1</v>
      </c>
      <c r="BM18" s="4">
        <v>0.1</v>
      </c>
      <c r="BN18" s="4"/>
      <c r="BO18" s="4">
        <v>0.1</v>
      </c>
      <c r="BP18" s="4"/>
      <c r="BQ18" s="4"/>
      <c r="BR18" s="4">
        <v>1</v>
      </c>
      <c r="BS18" s="4"/>
      <c r="BT18" s="4"/>
      <c r="BU18" s="4"/>
      <c r="BY18" s="1"/>
      <c r="BZ18" s="1"/>
      <c r="CA18" s="149">
        <v>1</v>
      </c>
      <c r="CB18" s="4"/>
      <c r="CC18" s="4"/>
      <c r="CD18" s="4"/>
      <c r="CE18" s="4"/>
      <c r="CF18" s="4"/>
      <c r="CG18" s="4"/>
      <c r="CH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Z18" s="4"/>
      <c r="DA18" s="4">
        <v>0.1</v>
      </c>
      <c r="DB18" s="4">
        <v>0.1</v>
      </c>
      <c r="DC18" s="4">
        <v>0.1</v>
      </c>
      <c r="DD18" s="4">
        <v>0.1</v>
      </c>
      <c r="DE18" s="4">
        <v>0.1</v>
      </c>
      <c r="DF18" s="4">
        <v>0.1</v>
      </c>
      <c r="DG18" s="4">
        <v>0.1</v>
      </c>
      <c r="DH18" s="4">
        <v>0.1</v>
      </c>
      <c r="DI18" s="4">
        <v>0.1</v>
      </c>
      <c r="DJ18" s="4">
        <v>0.1</v>
      </c>
      <c r="DK18" s="4">
        <v>0.1</v>
      </c>
      <c r="DL18" s="4">
        <v>0.1</v>
      </c>
      <c r="DM18" s="4"/>
    </row>
    <row r="19" spans="2:117" ht="14.25" customHeight="1" x14ac:dyDescent="0.3">
      <c r="B19" s="3">
        <v>0.16666666666666699</v>
      </c>
      <c r="D19" s="4"/>
      <c r="E19" s="4"/>
      <c r="F19" s="4"/>
      <c r="G19" s="4"/>
      <c r="H19" s="4"/>
      <c r="I19" s="4"/>
      <c r="K19" s="4">
        <v>1</v>
      </c>
      <c r="L19" s="4">
        <v>1</v>
      </c>
      <c r="M19" s="4"/>
      <c r="N19" s="4"/>
      <c r="O19" s="4"/>
      <c r="P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K19" s="4"/>
      <c r="BL19" s="4">
        <v>0.1</v>
      </c>
      <c r="BM19" s="4">
        <v>0.1</v>
      </c>
      <c r="BN19" s="4"/>
      <c r="BO19" s="4">
        <v>0.1</v>
      </c>
      <c r="BP19" s="4"/>
      <c r="BQ19" s="4"/>
      <c r="BR19" s="4">
        <v>1</v>
      </c>
      <c r="BS19" s="4"/>
      <c r="BT19" s="4"/>
      <c r="BU19" s="4"/>
      <c r="BY19" s="1"/>
      <c r="BZ19" s="1"/>
      <c r="CA19" s="149">
        <v>1</v>
      </c>
      <c r="CB19" s="4"/>
      <c r="CC19" s="4"/>
      <c r="CD19" s="4"/>
      <c r="CE19" s="4"/>
      <c r="CF19" s="4"/>
      <c r="CG19" s="4"/>
      <c r="CH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Z19" s="4"/>
      <c r="DA19" s="4">
        <v>0.1</v>
      </c>
      <c r="DB19" s="4">
        <v>0.1</v>
      </c>
      <c r="DC19" s="4">
        <v>0.1</v>
      </c>
      <c r="DD19" s="4">
        <v>0.1</v>
      </c>
      <c r="DE19" s="4">
        <v>0.1</v>
      </c>
      <c r="DF19" s="4">
        <v>0.1</v>
      </c>
      <c r="DG19" s="4">
        <v>0.1</v>
      </c>
      <c r="DH19" s="4">
        <v>0.1</v>
      </c>
      <c r="DI19" s="4">
        <v>0.1</v>
      </c>
      <c r="DJ19" s="4">
        <v>0.1</v>
      </c>
      <c r="DK19" s="4">
        <v>0.1</v>
      </c>
      <c r="DL19" s="4">
        <v>0.1</v>
      </c>
      <c r="DM19" s="4"/>
    </row>
    <row r="20" spans="2:117" ht="14.25" customHeight="1" x14ac:dyDescent="0.3">
      <c r="B20" s="3">
        <v>0.17708333333333401</v>
      </c>
      <c r="D20" s="4"/>
      <c r="E20" s="4"/>
      <c r="F20" s="4"/>
      <c r="G20" s="4"/>
      <c r="H20" s="4"/>
      <c r="I20" s="4"/>
      <c r="K20" s="4">
        <v>1</v>
      </c>
      <c r="L20" s="4">
        <v>1</v>
      </c>
      <c r="M20" s="4"/>
      <c r="N20" s="4"/>
      <c r="O20" s="4"/>
      <c r="P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K20" s="4"/>
      <c r="BL20" s="4">
        <v>0.1</v>
      </c>
      <c r="BM20" s="4">
        <v>0.1</v>
      </c>
      <c r="BN20" s="4"/>
      <c r="BO20" s="4">
        <v>0.1</v>
      </c>
      <c r="BP20" s="4"/>
      <c r="BQ20" s="4"/>
      <c r="BR20" s="4">
        <v>1</v>
      </c>
      <c r="BS20" s="4"/>
      <c r="BT20" s="4"/>
      <c r="BU20" s="4"/>
      <c r="BY20" s="1"/>
      <c r="BZ20" s="1"/>
      <c r="CA20" s="4">
        <v>0.1</v>
      </c>
      <c r="CB20" s="4"/>
      <c r="CC20" s="4"/>
      <c r="CD20" s="4"/>
      <c r="CE20" s="4"/>
      <c r="CF20" s="4"/>
      <c r="CG20" s="4"/>
      <c r="CH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Z20" s="4"/>
      <c r="DA20" s="4">
        <v>0.1</v>
      </c>
      <c r="DB20" s="4">
        <v>0.1</v>
      </c>
      <c r="DC20" s="4">
        <v>0.1</v>
      </c>
      <c r="DD20" s="4">
        <v>0.1</v>
      </c>
      <c r="DE20" s="4">
        <v>0.1</v>
      </c>
      <c r="DF20" s="4">
        <v>0.1</v>
      </c>
      <c r="DG20" s="4">
        <v>0.1</v>
      </c>
      <c r="DH20" s="4">
        <v>0.1</v>
      </c>
      <c r="DI20" s="4">
        <v>0.1</v>
      </c>
      <c r="DJ20" s="4">
        <v>0.1</v>
      </c>
      <c r="DK20" s="4">
        <v>0.1</v>
      </c>
      <c r="DL20" s="4">
        <v>0.1</v>
      </c>
      <c r="DM20" s="4"/>
    </row>
    <row r="21" spans="2:117" ht="14.25" customHeight="1" x14ac:dyDescent="0.3">
      <c r="B21" s="3">
        <v>0.1875</v>
      </c>
      <c r="D21" s="4"/>
      <c r="E21" s="4"/>
      <c r="F21" s="4"/>
      <c r="G21" s="4"/>
      <c r="H21" s="4"/>
      <c r="I21" s="4"/>
      <c r="K21" s="4">
        <v>1</v>
      </c>
      <c r="L21" s="4">
        <v>1</v>
      </c>
      <c r="M21" s="4"/>
      <c r="N21" s="4"/>
      <c r="O21" s="4"/>
      <c r="P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K21" s="4"/>
      <c r="BL21" s="4">
        <v>0.1</v>
      </c>
      <c r="BM21" s="4">
        <v>0.1</v>
      </c>
      <c r="BN21" s="4"/>
      <c r="BO21" s="4">
        <v>0.1</v>
      </c>
      <c r="BP21" s="4"/>
      <c r="BQ21" s="4"/>
      <c r="BR21" s="4">
        <v>1</v>
      </c>
      <c r="BS21" s="4"/>
      <c r="BT21" s="4"/>
      <c r="BU21" s="4"/>
      <c r="BY21" s="1"/>
      <c r="BZ21" s="1"/>
      <c r="CA21" s="4">
        <v>0.1</v>
      </c>
      <c r="CB21" s="4"/>
      <c r="CC21" s="4"/>
      <c r="CD21" s="4"/>
      <c r="CE21" s="4"/>
      <c r="CF21" s="4"/>
      <c r="CG21" s="4"/>
      <c r="CH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Z21" s="4"/>
      <c r="DA21" s="4">
        <v>0.1</v>
      </c>
      <c r="DB21" s="4">
        <v>0.1</v>
      </c>
      <c r="DC21" s="4">
        <v>0.1</v>
      </c>
      <c r="DD21" s="4">
        <v>0.1</v>
      </c>
      <c r="DE21" s="4">
        <v>0.1</v>
      </c>
      <c r="DF21" s="4">
        <v>0.1</v>
      </c>
      <c r="DG21" s="4">
        <v>0.1</v>
      </c>
      <c r="DH21" s="4">
        <v>0.1</v>
      </c>
      <c r="DI21" s="4">
        <v>0.1</v>
      </c>
      <c r="DJ21" s="4">
        <v>0.1</v>
      </c>
      <c r="DK21" s="4">
        <v>0.1</v>
      </c>
      <c r="DL21" s="4">
        <v>0.1</v>
      </c>
      <c r="DM21" s="4"/>
    </row>
    <row r="22" spans="2:117" ht="14.25" customHeight="1" x14ac:dyDescent="0.3">
      <c r="B22" s="3">
        <v>0.19791666666666699</v>
      </c>
      <c r="D22" s="4"/>
      <c r="E22" s="4"/>
      <c r="F22" s="4"/>
      <c r="G22" s="4"/>
      <c r="H22" s="4"/>
      <c r="I22" s="4"/>
      <c r="K22" s="4">
        <v>1</v>
      </c>
      <c r="L22" s="4">
        <v>1</v>
      </c>
      <c r="M22" s="4"/>
      <c r="N22" s="4"/>
      <c r="O22" s="4"/>
      <c r="P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K22" s="4"/>
      <c r="BL22" s="4">
        <v>0.1</v>
      </c>
      <c r="BM22" s="4">
        <v>0.1</v>
      </c>
      <c r="BN22" s="4"/>
      <c r="BO22" s="4">
        <v>0.1</v>
      </c>
      <c r="BP22" s="4"/>
      <c r="BQ22" s="4"/>
      <c r="BR22" s="4">
        <v>1</v>
      </c>
      <c r="BS22" s="4"/>
      <c r="BT22" s="4"/>
      <c r="BU22" s="4"/>
      <c r="BY22" s="1"/>
      <c r="BZ22" s="1"/>
      <c r="CA22" s="4">
        <v>1</v>
      </c>
      <c r="CB22" s="4"/>
      <c r="CC22" s="4"/>
      <c r="CD22" s="4"/>
      <c r="CE22" s="4"/>
      <c r="CF22" s="4"/>
      <c r="CG22" s="4"/>
      <c r="CH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Z22" s="4"/>
      <c r="DA22" s="4">
        <v>0.1</v>
      </c>
      <c r="DB22" s="4">
        <v>0.1</v>
      </c>
      <c r="DC22" s="4">
        <v>0.1</v>
      </c>
      <c r="DD22" s="4">
        <v>0.1</v>
      </c>
      <c r="DE22" s="4">
        <v>0.1</v>
      </c>
      <c r="DF22" s="4">
        <v>0.1</v>
      </c>
      <c r="DG22" s="4">
        <v>0.1</v>
      </c>
      <c r="DH22" s="4">
        <v>0.1</v>
      </c>
      <c r="DI22" s="4">
        <v>0.1</v>
      </c>
      <c r="DJ22" s="4">
        <v>0.1</v>
      </c>
      <c r="DK22" s="4">
        <v>0.1</v>
      </c>
      <c r="DL22" s="4">
        <v>0.1</v>
      </c>
      <c r="DM22" s="4"/>
    </row>
    <row r="23" spans="2:117" ht="14.25" customHeight="1" x14ac:dyDescent="0.3">
      <c r="B23" s="3">
        <v>0.20833333333333401</v>
      </c>
      <c r="D23" s="4"/>
      <c r="E23" s="4"/>
      <c r="F23" s="4"/>
      <c r="G23" s="4"/>
      <c r="H23" s="4"/>
      <c r="I23" s="4"/>
      <c r="K23" s="4">
        <v>1</v>
      </c>
      <c r="L23" s="4">
        <v>1</v>
      </c>
      <c r="M23" s="4"/>
      <c r="N23" s="4"/>
      <c r="O23" s="4"/>
      <c r="P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K23" s="4"/>
      <c r="BL23" s="4">
        <v>0.1</v>
      </c>
      <c r="BM23" s="4">
        <v>0.1</v>
      </c>
      <c r="BN23" s="4"/>
      <c r="BO23" s="4">
        <v>0.1</v>
      </c>
      <c r="BP23" s="4"/>
      <c r="BQ23" s="4"/>
      <c r="BR23" s="4">
        <v>1</v>
      </c>
      <c r="BS23" s="4"/>
      <c r="BT23" s="4"/>
      <c r="BU23" s="4"/>
      <c r="BY23" s="1"/>
      <c r="BZ23" s="1"/>
      <c r="CA23" s="4">
        <v>1</v>
      </c>
      <c r="CB23" s="4"/>
      <c r="CC23" s="4"/>
      <c r="CD23" s="4"/>
      <c r="CE23" s="4"/>
      <c r="CF23" s="4"/>
      <c r="CG23" s="4"/>
      <c r="CH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Z23" s="4"/>
      <c r="DA23" s="4">
        <v>0.1</v>
      </c>
      <c r="DB23" s="4">
        <v>0.1</v>
      </c>
      <c r="DC23" s="4">
        <v>0.1</v>
      </c>
      <c r="DD23" s="4">
        <v>0.1</v>
      </c>
      <c r="DE23" s="4">
        <v>0.1</v>
      </c>
      <c r="DF23" s="4">
        <v>0.1</v>
      </c>
      <c r="DG23" s="4">
        <v>0.1</v>
      </c>
      <c r="DH23" s="4">
        <v>0.1</v>
      </c>
      <c r="DI23" s="4">
        <v>0.1</v>
      </c>
      <c r="DJ23" s="4">
        <v>0.1</v>
      </c>
      <c r="DK23" s="4">
        <v>0.1</v>
      </c>
      <c r="DL23" s="4">
        <v>0.1</v>
      </c>
      <c r="DM23" s="4"/>
    </row>
    <row r="24" spans="2:117" ht="14.25" customHeight="1" x14ac:dyDescent="0.3">
      <c r="B24" s="3">
        <v>0.21875</v>
      </c>
      <c r="D24" s="4"/>
      <c r="E24" s="4"/>
      <c r="F24" s="4"/>
      <c r="G24" s="4"/>
      <c r="H24" s="4"/>
      <c r="I24" s="4"/>
      <c r="K24" s="4">
        <v>1</v>
      </c>
      <c r="L24" s="4">
        <v>1</v>
      </c>
      <c r="M24" s="4"/>
      <c r="N24" s="4"/>
      <c r="O24" s="4"/>
      <c r="P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K24" s="4"/>
      <c r="BL24" s="4">
        <v>0.1</v>
      </c>
      <c r="BM24" s="4">
        <v>0.1</v>
      </c>
      <c r="BN24" s="4"/>
      <c r="BO24" s="4">
        <v>0.1</v>
      </c>
      <c r="BP24" s="4"/>
      <c r="BQ24" s="4"/>
      <c r="BR24" s="4">
        <v>1</v>
      </c>
      <c r="BS24" s="4"/>
      <c r="BT24" s="4"/>
      <c r="BU24" s="4"/>
      <c r="BY24" s="1"/>
      <c r="BZ24" s="1"/>
      <c r="CA24" s="4">
        <v>0.1</v>
      </c>
      <c r="CB24" s="4"/>
      <c r="CC24" s="4"/>
      <c r="CD24" s="4"/>
      <c r="CE24" s="4"/>
      <c r="CF24" s="4"/>
      <c r="CG24" s="4"/>
      <c r="CH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Z24" s="4"/>
      <c r="DA24" s="4">
        <v>0.1</v>
      </c>
      <c r="DB24" s="4">
        <v>0.1</v>
      </c>
      <c r="DC24" s="4">
        <v>0.1</v>
      </c>
      <c r="DD24" s="4">
        <v>0.1</v>
      </c>
      <c r="DE24" s="4">
        <v>0.1</v>
      </c>
      <c r="DF24" s="4">
        <v>0.1</v>
      </c>
      <c r="DG24" s="4">
        <v>0.1</v>
      </c>
      <c r="DH24" s="4">
        <v>0.1</v>
      </c>
      <c r="DI24" s="4">
        <v>0.1</v>
      </c>
      <c r="DJ24" s="4">
        <v>0.1</v>
      </c>
      <c r="DK24" s="4">
        <v>0.1</v>
      </c>
      <c r="DL24" s="4">
        <v>0.1</v>
      </c>
      <c r="DM24" s="4"/>
    </row>
    <row r="25" spans="2:117" ht="14.25" customHeight="1" x14ac:dyDescent="0.3">
      <c r="B25" s="3">
        <v>0.22916666666666699</v>
      </c>
      <c r="D25" s="4"/>
      <c r="E25" s="4"/>
      <c r="F25" s="4"/>
      <c r="G25" s="4"/>
      <c r="H25" s="4"/>
      <c r="I25" s="4"/>
      <c r="K25" s="4">
        <v>1</v>
      </c>
      <c r="L25" s="4">
        <v>1</v>
      </c>
      <c r="M25" s="4"/>
      <c r="N25" s="4"/>
      <c r="O25" s="4"/>
      <c r="P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K25" s="4"/>
      <c r="BL25" s="4">
        <v>0.1</v>
      </c>
      <c r="BM25" s="4">
        <v>0.1</v>
      </c>
      <c r="BN25" s="4"/>
      <c r="BO25" s="4">
        <v>0.1</v>
      </c>
      <c r="BP25" s="4"/>
      <c r="BQ25" s="4"/>
      <c r="BR25" s="4">
        <v>1</v>
      </c>
      <c r="BS25" s="4"/>
      <c r="BT25" s="4"/>
      <c r="BU25" s="4"/>
      <c r="BY25" s="1"/>
      <c r="BZ25" s="1"/>
      <c r="CA25" s="4">
        <v>0.1</v>
      </c>
      <c r="CB25" s="4"/>
      <c r="CC25" s="4"/>
      <c r="CD25" s="4"/>
      <c r="CE25" s="4"/>
      <c r="CF25" s="4"/>
      <c r="CG25" s="4"/>
      <c r="CH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Z25" s="4"/>
      <c r="DA25" s="4">
        <v>0.1</v>
      </c>
      <c r="DB25" s="4">
        <v>0.1</v>
      </c>
      <c r="DC25" s="4">
        <v>0.1</v>
      </c>
      <c r="DD25" s="4">
        <v>0.1</v>
      </c>
      <c r="DE25" s="4">
        <v>0.1</v>
      </c>
      <c r="DF25" s="4">
        <v>0.1</v>
      </c>
      <c r="DG25" s="4">
        <v>0.1</v>
      </c>
      <c r="DH25" s="4">
        <v>0.1</v>
      </c>
      <c r="DI25" s="4">
        <v>0.1</v>
      </c>
      <c r="DJ25" s="4">
        <v>0.1</v>
      </c>
      <c r="DK25" s="4">
        <v>0.1</v>
      </c>
      <c r="DL25" s="4">
        <v>0.1</v>
      </c>
      <c r="DM25" s="4"/>
    </row>
    <row r="26" spans="2:117" ht="14.25" customHeight="1" x14ac:dyDescent="0.3">
      <c r="B26" s="3">
        <v>0.23958333333333401</v>
      </c>
      <c r="D26" s="4"/>
      <c r="E26" s="4"/>
      <c r="F26" s="4"/>
      <c r="G26" s="4"/>
      <c r="H26" s="4"/>
      <c r="I26" s="4"/>
      <c r="K26" s="4">
        <v>1</v>
      </c>
      <c r="L26" s="4">
        <v>1</v>
      </c>
      <c r="M26" s="4"/>
      <c r="N26" s="4"/>
      <c r="O26" s="4"/>
      <c r="P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K26" s="4"/>
      <c r="BL26" s="4">
        <v>0.1</v>
      </c>
      <c r="BM26" s="4">
        <v>0.1</v>
      </c>
      <c r="BN26" s="4"/>
      <c r="BO26" s="4">
        <v>0.1</v>
      </c>
      <c r="BP26" s="4"/>
      <c r="BQ26" s="4"/>
      <c r="BR26" s="4">
        <v>1</v>
      </c>
      <c r="BS26" s="4"/>
      <c r="BT26" s="4"/>
      <c r="BU26" s="4"/>
      <c r="BY26" s="1"/>
      <c r="BZ26" s="1"/>
      <c r="CA26" s="149">
        <v>1</v>
      </c>
      <c r="CB26" s="4"/>
      <c r="CC26" s="4"/>
      <c r="CD26" s="4"/>
      <c r="CE26" s="4"/>
      <c r="CF26" s="4"/>
      <c r="CG26" s="4"/>
      <c r="CH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Z26" s="4"/>
      <c r="DA26" s="4">
        <v>0.1</v>
      </c>
      <c r="DB26" s="4">
        <v>0.1</v>
      </c>
      <c r="DC26" s="4">
        <v>0.1</v>
      </c>
      <c r="DD26" s="4">
        <v>0.1</v>
      </c>
      <c r="DE26" s="4">
        <v>0.1</v>
      </c>
      <c r="DF26" s="4">
        <v>0.1</v>
      </c>
      <c r="DG26" s="4">
        <v>0.1</v>
      </c>
      <c r="DH26" s="4">
        <v>0.1</v>
      </c>
      <c r="DI26" s="4">
        <v>0.1</v>
      </c>
      <c r="DJ26" s="4">
        <v>0.1</v>
      </c>
      <c r="DK26" s="4">
        <v>0.1</v>
      </c>
      <c r="DL26" s="4">
        <v>0.1</v>
      </c>
      <c r="DM26" s="4"/>
    </row>
    <row r="27" spans="2:117" ht="14.25" customHeight="1" x14ac:dyDescent="0.3">
      <c r="B27" s="3">
        <v>0.25</v>
      </c>
      <c r="D27" s="4"/>
      <c r="E27" s="4"/>
      <c r="F27" s="4"/>
      <c r="G27" s="4"/>
      <c r="H27" s="4"/>
      <c r="I27" s="4"/>
      <c r="K27" s="4">
        <v>1</v>
      </c>
      <c r="L27" s="4">
        <v>1</v>
      </c>
      <c r="M27" s="4"/>
      <c r="N27" s="4"/>
      <c r="O27" s="4"/>
      <c r="P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K27" s="4"/>
      <c r="BL27" s="4">
        <v>0.1</v>
      </c>
      <c r="BM27" s="4">
        <v>0.1</v>
      </c>
      <c r="BN27" s="4"/>
      <c r="BO27" s="4">
        <v>0.1</v>
      </c>
      <c r="BP27" s="4"/>
      <c r="BQ27" s="4"/>
      <c r="BR27" s="4">
        <v>1</v>
      </c>
      <c r="BS27" s="4"/>
      <c r="BT27" s="4"/>
      <c r="BU27" s="4"/>
      <c r="BY27" s="1"/>
      <c r="BZ27" s="1"/>
      <c r="CA27" s="149">
        <v>1</v>
      </c>
      <c r="CB27" s="4"/>
      <c r="CC27" s="4"/>
      <c r="CD27" s="4"/>
      <c r="CE27" s="4"/>
      <c r="CF27" s="4"/>
      <c r="CG27" s="4"/>
      <c r="CH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Z27" s="4"/>
      <c r="DA27" s="4">
        <v>0.1</v>
      </c>
      <c r="DB27" s="4">
        <v>0.1</v>
      </c>
      <c r="DC27" s="4">
        <v>0.1</v>
      </c>
      <c r="DD27" s="4">
        <v>0.1</v>
      </c>
      <c r="DE27" s="4">
        <v>0.1</v>
      </c>
      <c r="DF27" s="4">
        <v>0.1</v>
      </c>
      <c r="DG27" s="4">
        <v>0.1</v>
      </c>
      <c r="DH27" s="4">
        <v>0.1</v>
      </c>
      <c r="DI27" s="4">
        <v>0.1</v>
      </c>
      <c r="DJ27" s="4">
        <v>0.1</v>
      </c>
      <c r="DK27" s="4">
        <v>0.1</v>
      </c>
      <c r="DL27" s="4">
        <v>0.1</v>
      </c>
      <c r="DM27" s="4"/>
    </row>
    <row r="28" spans="2:117" ht="14.25" customHeight="1" x14ac:dyDescent="0.3">
      <c r="B28" s="3">
        <v>0.26041666666666702</v>
      </c>
      <c r="D28" s="4"/>
      <c r="E28" s="4"/>
      <c r="F28" s="4"/>
      <c r="G28" s="4"/>
      <c r="H28" s="4"/>
      <c r="I28" s="4"/>
      <c r="K28" s="4">
        <v>1</v>
      </c>
      <c r="L28" s="4">
        <v>1</v>
      </c>
      <c r="M28" s="4"/>
      <c r="N28" s="4"/>
      <c r="O28" s="4"/>
      <c r="P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K28" s="4"/>
      <c r="BL28" s="4">
        <v>0.1</v>
      </c>
      <c r="BM28" s="4">
        <v>0.1</v>
      </c>
      <c r="BN28" s="4"/>
      <c r="BO28" s="4">
        <v>0.1</v>
      </c>
      <c r="BP28" s="4"/>
      <c r="BQ28" s="4"/>
      <c r="BR28" s="4">
        <v>1</v>
      </c>
      <c r="BS28" s="4"/>
      <c r="BT28" s="4"/>
      <c r="BU28" s="4"/>
      <c r="BY28" s="1"/>
      <c r="BZ28" s="1"/>
      <c r="CA28" s="4">
        <v>0.1</v>
      </c>
      <c r="CB28" s="4"/>
      <c r="CC28" s="4"/>
      <c r="CD28" s="4"/>
      <c r="CE28" s="4"/>
      <c r="CF28" s="4"/>
      <c r="CG28" s="4"/>
      <c r="CH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Z28" s="4"/>
      <c r="DA28" s="4">
        <v>0.1</v>
      </c>
      <c r="DB28" s="4">
        <v>0.1</v>
      </c>
      <c r="DC28" s="4">
        <v>0.1</v>
      </c>
      <c r="DD28" s="4">
        <v>0.1</v>
      </c>
      <c r="DE28" s="4">
        <v>0.1</v>
      </c>
      <c r="DF28" s="4">
        <v>0.1</v>
      </c>
      <c r="DG28" s="4">
        <v>0.1</v>
      </c>
      <c r="DH28" s="4">
        <v>0.1</v>
      </c>
      <c r="DI28" s="4">
        <v>0.1</v>
      </c>
      <c r="DJ28" s="4">
        <v>0.1</v>
      </c>
      <c r="DK28" s="4">
        <v>0.1</v>
      </c>
      <c r="DL28" s="4">
        <v>0.1</v>
      </c>
      <c r="DM28" s="4"/>
    </row>
    <row r="29" spans="2:117" ht="14.25" customHeight="1" x14ac:dyDescent="0.3">
      <c r="B29" s="3">
        <v>0.27083333333333398</v>
      </c>
      <c r="D29" s="4"/>
      <c r="E29" s="4"/>
      <c r="F29" s="4"/>
      <c r="G29" s="4"/>
      <c r="H29" s="4"/>
      <c r="I29" s="4"/>
      <c r="K29" s="4">
        <v>1</v>
      </c>
      <c r="L29" s="4">
        <v>1</v>
      </c>
      <c r="M29" s="4"/>
      <c r="N29" s="4"/>
      <c r="O29" s="4"/>
      <c r="P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K29" s="4"/>
      <c r="BL29" s="4">
        <v>0.1</v>
      </c>
      <c r="BM29" s="4">
        <v>0.1</v>
      </c>
      <c r="BN29" s="4"/>
      <c r="BO29" s="4">
        <v>0.1</v>
      </c>
      <c r="BP29" s="4"/>
      <c r="BQ29" s="4"/>
      <c r="BR29" s="4">
        <v>1</v>
      </c>
      <c r="BS29" s="4"/>
      <c r="BT29" s="4"/>
      <c r="BU29" s="4"/>
      <c r="BY29" s="1"/>
      <c r="BZ29" s="1"/>
      <c r="CA29" s="4">
        <v>0.1</v>
      </c>
      <c r="CB29" s="4"/>
      <c r="CC29" s="4"/>
      <c r="CD29" s="4"/>
      <c r="CE29" s="4"/>
      <c r="CF29" s="4"/>
      <c r="CG29" s="4"/>
      <c r="CH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Z29" s="4"/>
      <c r="DA29" s="4">
        <v>0.1</v>
      </c>
      <c r="DB29" s="4">
        <v>0.1</v>
      </c>
      <c r="DC29" s="4">
        <v>0.1</v>
      </c>
      <c r="DD29" s="4">
        <v>0.1</v>
      </c>
      <c r="DE29" s="4">
        <v>0.1</v>
      </c>
      <c r="DF29" s="4">
        <v>0.1</v>
      </c>
      <c r="DG29" s="4">
        <v>0.1</v>
      </c>
      <c r="DH29" s="4">
        <v>0.1</v>
      </c>
      <c r="DI29" s="4">
        <v>0.1</v>
      </c>
      <c r="DJ29" s="4">
        <v>0.1</v>
      </c>
      <c r="DK29" s="4">
        <v>0.1</v>
      </c>
      <c r="DL29" s="4">
        <v>0.1</v>
      </c>
      <c r="DM29" s="4"/>
    </row>
    <row r="30" spans="2:117" ht="14.25" customHeight="1" x14ac:dyDescent="0.3">
      <c r="B30" s="3">
        <v>0.28125</v>
      </c>
      <c r="D30" s="4"/>
      <c r="E30" s="4"/>
      <c r="F30" s="4"/>
      <c r="G30" s="4"/>
      <c r="H30" s="4"/>
      <c r="I30" s="4"/>
      <c r="K30" s="4">
        <v>1</v>
      </c>
      <c r="L30" s="4">
        <v>1</v>
      </c>
      <c r="M30" s="4"/>
      <c r="N30" s="4"/>
      <c r="O30" s="4"/>
      <c r="P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J30" s="4"/>
      <c r="BK30" s="4"/>
      <c r="BL30" s="4">
        <v>0.1</v>
      </c>
      <c r="BM30" s="4">
        <v>0.1</v>
      </c>
      <c r="BN30" s="4"/>
      <c r="BO30" s="4">
        <v>0.1</v>
      </c>
      <c r="BP30" s="4"/>
      <c r="BQ30" s="4"/>
      <c r="BR30" s="4">
        <v>1</v>
      </c>
      <c r="BS30" s="4"/>
      <c r="BT30" s="4"/>
      <c r="BU30" s="4"/>
      <c r="BY30" s="1"/>
      <c r="BZ30" s="1"/>
      <c r="CA30" s="4">
        <v>1</v>
      </c>
      <c r="CB30" s="4"/>
      <c r="CC30" s="4"/>
      <c r="CD30" s="4"/>
      <c r="CE30" s="4"/>
      <c r="CF30" s="4"/>
      <c r="CG30" s="4"/>
      <c r="CH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Z30" s="4"/>
      <c r="DA30" s="4">
        <v>0.1</v>
      </c>
      <c r="DB30" s="4">
        <v>0.1</v>
      </c>
      <c r="DC30" s="4">
        <v>0.1</v>
      </c>
      <c r="DD30" s="4">
        <v>0.1</v>
      </c>
      <c r="DE30" s="4">
        <v>0.1</v>
      </c>
      <c r="DF30" s="4">
        <v>0.1</v>
      </c>
      <c r="DG30" s="4">
        <v>0.1</v>
      </c>
      <c r="DH30" s="4">
        <v>0.1</v>
      </c>
      <c r="DI30" s="4">
        <v>0.1</v>
      </c>
      <c r="DJ30" s="4">
        <v>0.1</v>
      </c>
      <c r="DK30" s="4">
        <v>0.1</v>
      </c>
      <c r="DL30" s="4">
        <v>0.1</v>
      </c>
      <c r="DM30" s="4"/>
    </row>
    <row r="31" spans="2:117" ht="14.25" customHeight="1" x14ac:dyDescent="0.3">
      <c r="B31" s="3">
        <v>0.29166666666666702</v>
      </c>
      <c r="D31" s="4"/>
      <c r="E31" s="4"/>
      <c r="F31" s="4"/>
      <c r="G31" s="4"/>
      <c r="H31" s="4"/>
      <c r="I31" s="4"/>
      <c r="K31" s="4">
        <v>1</v>
      </c>
      <c r="L31" s="4">
        <v>1</v>
      </c>
      <c r="M31" s="4"/>
      <c r="N31" s="4"/>
      <c r="O31" s="4"/>
      <c r="P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J31" s="4"/>
      <c r="BK31" s="4"/>
      <c r="BL31" s="4">
        <v>0.1</v>
      </c>
      <c r="BM31" s="4">
        <v>0.1</v>
      </c>
      <c r="BN31" s="4"/>
      <c r="BO31" s="4">
        <v>0.1</v>
      </c>
      <c r="BP31" s="4"/>
      <c r="BQ31" s="4"/>
      <c r="BR31" s="4">
        <v>1</v>
      </c>
      <c r="BS31" s="4"/>
      <c r="BT31" s="4"/>
      <c r="BU31" s="4"/>
      <c r="BY31" s="1"/>
      <c r="BZ31" s="1"/>
      <c r="CA31" s="4">
        <v>1</v>
      </c>
      <c r="CB31" s="4"/>
      <c r="CC31" s="4"/>
      <c r="CD31" s="4"/>
      <c r="CE31" s="4"/>
      <c r="CF31" s="4"/>
      <c r="CG31" s="4"/>
      <c r="CH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Z31" s="4"/>
      <c r="DA31" s="4">
        <v>0.1</v>
      </c>
      <c r="DB31" s="4">
        <v>0.1</v>
      </c>
      <c r="DC31" s="4">
        <v>0.1</v>
      </c>
      <c r="DD31" s="4">
        <v>0.1</v>
      </c>
      <c r="DE31" s="4">
        <v>0.1</v>
      </c>
      <c r="DF31" s="4">
        <v>0.1</v>
      </c>
      <c r="DG31" s="4">
        <v>0.1</v>
      </c>
      <c r="DH31" s="4">
        <v>0.1</v>
      </c>
      <c r="DI31" s="4">
        <v>0.1</v>
      </c>
      <c r="DJ31" s="4">
        <v>0.1</v>
      </c>
      <c r="DK31" s="4">
        <v>0.1</v>
      </c>
      <c r="DL31" s="4">
        <v>0.1</v>
      </c>
      <c r="DM31" s="4"/>
    </row>
    <row r="32" spans="2:117" ht="14.25" customHeight="1" x14ac:dyDescent="0.3">
      <c r="B32" s="3">
        <v>0.30208333333333398</v>
      </c>
      <c r="D32" s="4"/>
      <c r="E32" s="4"/>
      <c r="F32" s="4"/>
      <c r="G32" s="4"/>
      <c r="H32" s="4"/>
      <c r="I32" s="4"/>
      <c r="K32" s="4">
        <v>1</v>
      </c>
      <c r="L32" s="4">
        <v>1</v>
      </c>
      <c r="M32" s="4"/>
      <c r="N32" s="4"/>
      <c r="O32" s="4"/>
      <c r="P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J32" s="4"/>
      <c r="BK32" s="4"/>
      <c r="BL32" s="4">
        <v>0.1</v>
      </c>
      <c r="BM32" s="4">
        <v>0.1</v>
      </c>
      <c r="BN32" s="4"/>
      <c r="BO32" s="149">
        <v>1</v>
      </c>
      <c r="BP32" s="4"/>
      <c r="BQ32" s="4"/>
      <c r="BR32" s="4">
        <v>1</v>
      </c>
      <c r="BS32" s="4"/>
      <c r="BT32" s="4"/>
      <c r="BU32" s="4"/>
      <c r="BY32" s="1"/>
      <c r="BZ32" s="1"/>
      <c r="CA32" s="4">
        <v>0.1</v>
      </c>
      <c r="CB32" s="4"/>
      <c r="CC32" s="4"/>
      <c r="CD32" s="4"/>
      <c r="CE32" s="4"/>
      <c r="CF32" s="4"/>
      <c r="CG32" s="4"/>
      <c r="CH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Z32" s="4"/>
      <c r="DA32" s="149">
        <v>1</v>
      </c>
      <c r="DB32" s="149">
        <v>1</v>
      </c>
      <c r="DC32" s="149">
        <v>1</v>
      </c>
      <c r="DD32" s="149">
        <v>1</v>
      </c>
      <c r="DE32" s="149">
        <v>1</v>
      </c>
      <c r="DF32" s="149">
        <v>1</v>
      </c>
      <c r="DG32" s="149">
        <v>1</v>
      </c>
      <c r="DH32" s="149">
        <v>1</v>
      </c>
      <c r="DI32" s="149">
        <v>1</v>
      </c>
      <c r="DJ32" s="149">
        <v>1</v>
      </c>
      <c r="DK32" s="149">
        <v>1</v>
      </c>
      <c r="DL32" s="149">
        <v>1</v>
      </c>
      <c r="DM32" s="4"/>
    </row>
    <row r="33" spans="2:117" ht="14.25" customHeight="1" x14ac:dyDescent="0.3">
      <c r="B33" s="3">
        <v>0.3125</v>
      </c>
      <c r="D33" s="4"/>
      <c r="E33" s="4"/>
      <c r="F33" s="4"/>
      <c r="G33" s="4"/>
      <c r="H33" s="4"/>
      <c r="I33" s="4"/>
      <c r="K33" s="4">
        <v>1</v>
      </c>
      <c r="L33" s="4">
        <v>1</v>
      </c>
      <c r="M33" s="4"/>
      <c r="N33" s="4"/>
      <c r="O33" s="4"/>
      <c r="P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J33" s="4"/>
      <c r="BK33" s="4"/>
      <c r="BL33" s="4">
        <v>0.1</v>
      </c>
      <c r="BM33" s="4">
        <v>0.1</v>
      </c>
      <c r="BN33" s="4"/>
      <c r="BO33" s="149">
        <v>1</v>
      </c>
      <c r="BP33" s="4"/>
      <c r="BQ33" s="4"/>
      <c r="BR33" s="4">
        <v>1</v>
      </c>
      <c r="BS33" s="4"/>
      <c r="BT33" s="4"/>
      <c r="BU33" s="4"/>
      <c r="BY33" s="1"/>
      <c r="BZ33" s="1"/>
      <c r="CA33" s="4">
        <v>0.1</v>
      </c>
      <c r="CB33" s="4"/>
      <c r="CC33" s="4"/>
      <c r="CD33" s="4"/>
      <c r="CE33" s="4"/>
      <c r="CF33" s="4"/>
      <c r="CG33" s="4"/>
      <c r="CH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Z33" s="4"/>
      <c r="DA33" s="149">
        <v>1</v>
      </c>
      <c r="DB33" s="149">
        <v>1</v>
      </c>
      <c r="DC33" s="149">
        <v>1</v>
      </c>
      <c r="DD33" s="149">
        <v>1</v>
      </c>
      <c r="DE33" s="149">
        <v>1</v>
      </c>
      <c r="DF33" s="149">
        <v>1</v>
      </c>
      <c r="DG33" s="149">
        <v>1</v>
      </c>
      <c r="DH33" s="149">
        <v>1</v>
      </c>
      <c r="DI33" s="149">
        <v>1</v>
      </c>
      <c r="DJ33" s="149">
        <v>1</v>
      </c>
      <c r="DK33" s="149">
        <v>1</v>
      </c>
      <c r="DL33" s="149">
        <v>1</v>
      </c>
      <c r="DM33" s="4"/>
    </row>
    <row r="34" spans="2:117" ht="14.25" customHeight="1" x14ac:dyDescent="0.3">
      <c r="B34" s="3">
        <v>0.32291666666666702</v>
      </c>
      <c r="D34" s="4"/>
      <c r="E34" s="4"/>
      <c r="F34" s="4"/>
      <c r="G34" s="4"/>
      <c r="H34" s="4"/>
      <c r="I34" s="4"/>
      <c r="K34" s="4">
        <v>1</v>
      </c>
      <c r="L34" s="4">
        <v>1</v>
      </c>
      <c r="M34" s="4"/>
      <c r="N34" s="4"/>
      <c r="O34" s="4"/>
      <c r="P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K34" s="4"/>
      <c r="BL34" s="4">
        <v>0.1</v>
      </c>
      <c r="BM34" s="4">
        <v>0.1</v>
      </c>
      <c r="BN34" s="4"/>
      <c r="BO34" s="149">
        <v>1</v>
      </c>
      <c r="BP34" s="4"/>
      <c r="BQ34" s="4"/>
      <c r="BR34" s="4">
        <v>1</v>
      </c>
      <c r="BS34" s="4"/>
      <c r="BT34" s="4"/>
      <c r="BU34" s="4"/>
      <c r="BY34" s="1"/>
      <c r="BZ34" s="1"/>
      <c r="CA34" s="149">
        <v>1</v>
      </c>
      <c r="CB34" s="4"/>
      <c r="CC34" s="4"/>
      <c r="CD34" s="4"/>
      <c r="CE34" s="4"/>
      <c r="CF34" s="4"/>
      <c r="CG34" s="4"/>
      <c r="CH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Z34" s="4"/>
      <c r="DA34" s="149">
        <v>1</v>
      </c>
      <c r="DB34" s="149">
        <v>1</v>
      </c>
      <c r="DC34" s="149">
        <v>1</v>
      </c>
      <c r="DD34" s="149">
        <v>1</v>
      </c>
      <c r="DE34" s="149">
        <v>1</v>
      </c>
      <c r="DF34" s="149">
        <v>1</v>
      </c>
      <c r="DG34" s="149">
        <v>1</v>
      </c>
      <c r="DH34" s="149">
        <v>1</v>
      </c>
      <c r="DI34" s="149">
        <v>1</v>
      </c>
      <c r="DJ34" s="149">
        <v>1</v>
      </c>
      <c r="DK34" s="149">
        <v>1</v>
      </c>
      <c r="DL34" s="149">
        <v>1</v>
      </c>
      <c r="DM34" s="4"/>
    </row>
    <row r="35" spans="2:117" ht="14.25" customHeight="1" x14ac:dyDescent="0.3">
      <c r="B35" s="3">
        <v>0.33333333333333398</v>
      </c>
      <c r="D35" s="4"/>
      <c r="E35" s="4"/>
      <c r="F35" s="4"/>
      <c r="G35" s="4"/>
      <c r="H35" s="4"/>
      <c r="I35" s="4"/>
      <c r="K35" s="4">
        <v>1</v>
      </c>
      <c r="L35" s="4">
        <v>1</v>
      </c>
      <c r="M35" s="4"/>
      <c r="N35" s="4"/>
      <c r="O35" s="4"/>
      <c r="P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K35" s="4"/>
      <c r="BL35" s="4">
        <v>0.1</v>
      </c>
      <c r="BM35" s="4">
        <v>0.1</v>
      </c>
      <c r="BN35" s="4"/>
      <c r="BO35" s="149">
        <v>1</v>
      </c>
      <c r="BP35" s="4"/>
      <c r="BQ35" s="4"/>
      <c r="BR35" s="4">
        <v>1</v>
      </c>
      <c r="BS35" s="4"/>
      <c r="BT35" s="4"/>
      <c r="BU35" s="4"/>
      <c r="BY35" s="1"/>
      <c r="BZ35" s="1"/>
      <c r="CA35" s="149">
        <v>1</v>
      </c>
      <c r="CB35" s="4"/>
      <c r="CC35" s="4"/>
      <c r="CD35" s="4"/>
      <c r="CE35" s="4"/>
      <c r="CF35" s="4"/>
      <c r="CG35" s="4"/>
      <c r="CH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Z35" s="4"/>
      <c r="DA35" s="149">
        <v>1</v>
      </c>
      <c r="DB35" s="149">
        <v>1</v>
      </c>
      <c r="DC35" s="149">
        <v>1</v>
      </c>
      <c r="DD35" s="149">
        <v>1</v>
      </c>
      <c r="DE35" s="149">
        <v>1</v>
      </c>
      <c r="DF35" s="149">
        <v>1</v>
      </c>
      <c r="DG35" s="149">
        <v>1</v>
      </c>
      <c r="DH35" s="149">
        <v>1</v>
      </c>
      <c r="DI35" s="149">
        <v>1</v>
      </c>
      <c r="DJ35" s="149">
        <v>1</v>
      </c>
      <c r="DK35" s="149">
        <v>1</v>
      </c>
      <c r="DL35" s="149">
        <v>1</v>
      </c>
      <c r="DM35" s="4"/>
    </row>
    <row r="36" spans="2:117" ht="14.25" customHeight="1" x14ac:dyDescent="0.3">
      <c r="B36" s="3">
        <v>0.34375</v>
      </c>
      <c r="D36" s="4"/>
      <c r="E36" s="4"/>
      <c r="F36" s="4"/>
      <c r="G36" s="4"/>
      <c r="H36" s="4"/>
      <c r="I36" s="4"/>
      <c r="K36" s="4">
        <v>1</v>
      </c>
      <c r="L36" s="4">
        <v>1</v>
      </c>
      <c r="M36" s="4"/>
      <c r="N36" s="4"/>
      <c r="O36" s="4"/>
      <c r="P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K36" s="4"/>
      <c r="BL36" s="4">
        <v>0.1</v>
      </c>
      <c r="BM36" s="4">
        <v>0.1</v>
      </c>
      <c r="BN36" s="4"/>
      <c r="BO36" s="149">
        <v>1</v>
      </c>
      <c r="BP36" s="4"/>
      <c r="BQ36" s="4"/>
      <c r="BR36" s="4">
        <v>1</v>
      </c>
      <c r="BS36" s="4"/>
      <c r="BT36" s="4"/>
      <c r="BU36" s="4"/>
      <c r="BY36" s="1"/>
      <c r="BZ36" s="1"/>
      <c r="CA36" s="4">
        <v>0.1</v>
      </c>
      <c r="CB36" s="4"/>
      <c r="CC36" s="4"/>
      <c r="CD36" s="4"/>
      <c r="CE36" s="4"/>
      <c r="CF36" s="4"/>
      <c r="CG36" s="4"/>
      <c r="CH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Z36" s="4"/>
      <c r="DA36" s="149">
        <v>1</v>
      </c>
      <c r="DB36" s="149">
        <v>1</v>
      </c>
      <c r="DC36" s="149">
        <v>1</v>
      </c>
      <c r="DD36" s="149">
        <v>1</v>
      </c>
      <c r="DE36" s="149">
        <v>1</v>
      </c>
      <c r="DF36" s="149">
        <v>1</v>
      </c>
      <c r="DG36" s="149">
        <v>1</v>
      </c>
      <c r="DH36" s="149">
        <v>1</v>
      </c>
      <c r="DI36" s="149">
        <v>1</v>
      </c>
      <c r="DJ36" s="149">
        <v>1</v>
      </c>
      <c r="DK36" s="149">
        <v>1</v>
      </c>
      <c r="DL36" s="149">
        <v>1</v>
      </c>
      <c r="DM36" s="4"/>
    </row>
    <row r="37" spans="2:117" ht="14.25" customHeight="1" x14ac:dyDescent="0.3">
      <c r="B37" s="3">
        <v>0.35416666666666702</v>
      </c>
      <c r="D37" s="4"/>
      <c r="E37" s="4"/>
      <c r="F37" s="4"/>
      <c r="G37" s="4"/>
      <c r="H37" s="4"/>
      <c r="I37" s="4"/>
      <c r="K37" s="4">
        <v>1</v>
      </c>
      <c r="L37" s="4">
        <v>1</v>
      </c>
      <c r="M37" s="4"/>
      <c r="N37" s="4"/>
      <c r="O37" s="4"/>
      <c r="P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K37" s="4"/>
      <c r="BL37" s="4">
        <v>0.1</v>
      </c>
      <c r="BM37" s="4">
        <v>0.1</v>
      </c>
      <c r="BN37" s="4"/>
      <c r="BO37" s="149">
        <v>1</v>
      </c>
      <c r="BP37" s="4"/>
      <c r="BQ37" s="4"/>
      <c r="BR37" s="4">
        <v>1</v>
      </c>
      <c r="BS37" s="4"/>
      <c r="BT37" s="4"/>
      <c r="BU37" s="4"/>
      <c r="BY37" s="1"/>
      <c r="BZ37" s="1"/>
      <c r="CA37" s="4">
        <v>0.1</v>
      </c>
      <c r="CB37" s="4"/>
      <c r="CC37" s="4"/>
      <c r="CD37" s="4"/>
      <c r="CE37" s="4"/>
      <c r="CF37" s="4"/>
      <c r="CG37" s="4"/>
      <c r="CH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Z37" s="4"/>
      <c r="DA37" s="149">
        <v>1</v>
      </c>
      <c r="DB37" s="149">
        <v>1</v>
      </c>
      <c r="DC37" s="149">
        <v>1</v>
      </c>
      <c r="DD37" s="149">
        <v>1</v>
      </c>
      <c r="DE37" s="149">
        <v>1</v>
      </c>
      <c r="DF37" s="149">
        <v>1</v>
      </c>
      <c r="DG37" s="149">
        <v>1</v>
      </c>
      <c r="DH37" s="149">
        <v>1</v>
      </c>
      <c r="DI37" s="149">
        <v>1</v>
      </c>
      <c r="DJ37" s="149">
        <v>1</v>
      </c>
      <c r="DK37" s="149">
        <v>1</v>
      </c>
      <c r="DL37" s="149">
        <v>1</v>
      </c>
      <c r="DM37" s="4"/>
    </row>
    <row r="38" spans="2:117" ht="14.25" customHeight="1" x14ac:dyDescent="0.3">
      <c r="B38" s="3">
        <v>0.36458333333333398</v>
      </c>
      <c r="D38" s="4"/>
      <c r="E38" s="4"/>
      <c r="F38" s="4"/>
      <c r="G38" s="4"/>
      <c r="H38" s="4"/>
      <c r="I38" s="4"/>
      <c r="K38" s="4">
        <v>1</v>
      </c>
      <c r="L38" s="4">
        <v>1</v>
      </c>
      <c r="M38" s="4"/>
      <c r="N38" s="4"/>
      <c r="O38" s="4"/>
      <c r="P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K38" s="4"/>
      <c r="BL38" s="4">
        <v>0.1</v>
      </c>
      <c r="BM38" s="4">
        <v>0.1</v>
      </c>
      <c r="BN38" s="4"/>
      <c r="BO38" s="149">
        <v>1</v>
      </c>
      <c r="BP38" s="4"/>
      <c r="BQ38" s="4"/>
      <c r="BR38" s="4">
        <v>1</v>
      </c>
      <c r="BS38" s="4"/>
      <c r="BT38" s="4"/>
      <c r="BU38" s="4"/>
      <c r="BY38" s="1"/>
      <c r="BZ38" s="1"/>
      <c r="CA38" s="4">
        <v>1</v>
      </c>
      <c r="CB38" s="4"/>
      <c r="CC38" s="4"/>
      <c r="CD38" s="4"/>
      <c r="CE38" s="4"/>
      <c r="CF38" s="4"/>
      <c r="CG38" s="4"/>
      <c r="CH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Z38" s="4"/>
      <c r="DA38" s="149">
        <v>1</v>
      </c>
      <c r="DB38" s="149">
        <v>1</v>
      </c>
      <c r="DC38" s="149">
        <v>1</v>
      </c>
      <c r="DD38" s="149">
        <v>1</v>
      </c>
      <c r="DE38" s="149">
        <v>1</v>
      </c>
      <c r="DF38" s="149">
        <v>1</v>
      </c>
      <c r="DG38" s="149">
        <v>1</v>
      </c>
      <c r="DH38" s="149">
        <v>1</v>
      </c>
      <c r="DI38" s="149">
        <v>1</v>
      </c>
      <c r="DJ38" s="149">
        <v>1</v>
      </c>
      <c r="DK38" s="149">
        <v>1</v>
      </c>
      <c r="DL38" s="149">
        <v>1</v>
      </c>
      <c r="DM38" s="4"/>
    </row>
    <row r="39" spans="2:117" ht="14.25" customHeight="1" x14ac:dyDescent="0.3">
      <c r="B39" s="3">
        <v>0.375</v>
      </c>
      <c r="D39" s="4"/>
      <c r="E39" s="4"/>
      <c r="F39" s="4"/>
      <c r="G39" s="4"/>
      <c r="H39" s="4"/>
      <c r="I39" s="4"/>
      <c r="K39" s="4">
        <v>1</v>
      </c>
      <c r="L39" s="4">
        <v>1</v>
      </c>
      <c r="M39" s="4"/>
      <c r="N39" s="4"/>
      <c r="O39" s="4"/>
      <c r="P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K39" s="4"/>
      <c r="BL39" s="4">
        <v>0.1</v>
      </c>
      <c r="BM39" s="4">
        <v>0.1</v>
      </c>
      <c r="BN39" s="4"/>
      <c r="BO39" s="149">
        <v>1</v>
      </c>
      <c r="BP39" s="4"/>
      <c r="BQ39" s="4"/>
      <c r="BR39" s="4">
        <v>1</v>
      </c>
      <c r="BS39" s="4"/>
      <c r="BT39" s="4"/>
      <c r="BU39" s="4"/>
      <c r="BY39" s="1"/>
      <c r="BZ39" s="1"/>
      <c r="CA39" s="4">
        <v>1</v>
      </c>
      <c r="CB39" s="4"/>
      <c r="CC39" s="4"/>
      <c r="CD39" s="4"/>
      <c r="CE39" s="4"/>
      <c r="CF39" s="4"/>
      <c r="CG39" s="4"/>
      <c r="CH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Z39" s="4"/>
      <c r="DA39" s="149">
        <v>1</v>
      </c>
      <c r="DB39" s="149">
        <v>1</v>
      </c>
      <c r="DC39" s="149">
        <v>1</v>
      </c>
      <c r="DD39" s="149">
        <v>1</v>
      </c>
      <c r="DE39" s="149">
        <v>1</v>
      </c>
      <c r="DF39" s="149">
        <v>1</v>
      </c>
      <c r="DG39" s="149">
        <v>1</v>
      </c>
      <c r="DH39" s="149">
        <v>1</v>
      </c>
      <c r="DI39" s="149">
        <v>1</v>
      </c>
      <c r="DJ39" s="149">
        <v>1</v>
      </c>
      <c r="DK39" s="149">
        <v>1</v>
      </c>
      <c r="DL39" s="149">
        <v>1</v>
      </c>
      <c r="DM39" s="4"/>
    </row>
    <row r="40" spans="2:117" ht="14.25" customHeight="1" x14ac:dyDescent="0.3">
      <c r="B40" s="3">
        <v>0.38541666666666702</v>
      </c>
      <c r="D40" s="4"/>
      <c r="E40" s="4"/>
      <c r="F40" s="4"/>
      <c r="G40" s="4"/>
      <c r="H40" s="4"/>
      <c r="I40" s="4"/>
      <c r="K40" s="4">
        <v>1</v>
      </c>
      <c r="L40" s="4">
        <v>1</v>
      </c>
      <c r="M40" s="4"/>
      <c r="N40" s="4"/>
      <c r="O40" s="4"/>
      <c r="P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K40" s="4"/>
      <c r="BL40" s="4">
        <v>0.1</v>
      </c>
      <c r="BM40" s="4">
        <v>0.1</v>
      </c>
      <c r="BN40" s="4"/>
      <c r="BO40" s="149">
        <v>1</v>
      </c>
      <c r="BP40" s="4"/>
      <c r="BQ40" s="4"/>
      <c r="BR40" s="4">
        <v>1</v>
      </c>
      <c r="BS40" s="4"/>
      <c r="BT40" s="4"/>
      <c r="BU40" s="4"/>
      <c r="BY40" s="1"/>
      <c r="BZ40" s="1"/>
      <c r="CA40" s="4">
        <v>0.1</v>
      </c>
      <c r="CB40" s="4"/>
      <c r="CC40" s="4"/>
      <c r="CD40" s="4"/>
      <c r="CE40" s="4"/>
      <c r="CF40" s="4"/>
      <c r="CG40" s="4"/>
      <c r="CH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Z40" s="4"/>
      <c r="DA40" s="149">
        <v>1</v>
      </c>
      <c r="DB40" s="149">
        <v>1</v>
      </c>
      <c r="DC40" s="149">
        <v>1</v>
      </c>
      <c r="DD40" s="149">
        <v>1</v>
      </c>
      <c r="DE40" s="149">
        <v>1</v>
      </c>
      <c r="DF40" s="149">
        <v>1</v>
      </c>
      <c r="DG40" s="149">
        <v>1</v>
      </c>
      <c r="DH40" s="149">
        <v>1</v>
      </c>
      <c r="DI40" s="149">
        <v>1</v>
      </c>
      <c r="DJ40" s="149">
        <v>1</v>
      </c>
      <c r="DK40" s="149">
        <v>1</v>
      </c>
      <c r="DL40" s="149">
        <v>1</v>
      </c>
      <c r="DM40" s="4"/>
    </row>
    <row r="41" spans="2:117" ht="14.25" customHeight="1" x14ac:dyDescent="0.3">
      <c r="B41" s="3">
        <v>0.39583333333333398</v>
      </c>
      <c r="D41" s="4"/>
      <c r="E41" s="4"/>
      <c r="F41" s="4"/>
      <c r="G41" s="4"/>
      <c r="H41" s="4"/>
      <c r="I41" s="4"/>
      <c r="K41" s="4">
        <v>1</v>
      </c>
      <c r="L41" s="4">
        <v>1</v>
      </c>
      <c r="M41" s="4"/>
      <c r="N41" s="4"/>
      <c r="O41" s="4"/>
      <c r="P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K41" s="4"/>
      <c r="BL41" s="4">
        <v>0.1</v>
      </c>
      <c r="BM41" s="4">
        <v>0.1</v>
      </c>
      <c r="BN41" s="4"/>
      <c r="BO41" s="149">
        <v>1</v>
      </c>
      <c r="BP41" s="4"/>
      <c r="BQ41" s="4"/>
      <c r="BR41" s="4">
        <v>1</v>
      </c>
      <c r="BS41" s="4"/>
      <c r="BT41" s="4"/>
      <c r="BU41" s="4"/>
      <c r="BY41" s="1"/>
      <c r="BZ41" s="1"/>
      <c r="CA41" s="4">
        <v>0.1</v>
      </c>
      <c r="CB41" s="4"/>
      <c r="CC41" s="4"/>
      <c r="CD41" s="4"/>
      <c r="CE41" s="4"/>
      <c r="CF41" s="4"/>
      <c r="CG41" s="4"/>
      <c r="CH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Z41" s="4"/>
      <c r="DA41" s="149">
        <v>1</v>
      </c>
      <c r="DB41" s="149">
        <v>1</v>
      </c>
      <c r="DC41" s="149">
        <v>1</v>
      </c>
      <c r="DD41" s="149">
        <v>1</v>
      </c>
      <c r="DE41" s="149">
        <v>1</v>
      </c>
      <c r="DF41" s="149">
        <v>1</v>
      </c>
      <c r="DG41" s="149">
        <v>1</v>
      </c>
      <c r="DH41" s="149">
        <v>1</v>
      </c>
      <c r="DI41" s="149">
        <v>1</v>
      </c>
      <c r="DJ41" s="149">
        <v>1</v>
      </c>
      <c r="DK41" s="149">
        <v>1</v>
      </c>
      <c r="DL41" s="149">
        <v>1</v>
      </c>
      <c r="DM41" s="4"/>
    </row>
    <row r="42" spans="2:117" ht="14.25" customHeight="1" x14ac:dyDescent="0.3">
      <c r="B42" s="3">
        <v>0.40625</v>
      </c>
      <c r="D42" s="4"/>
      <c r="E42" s="4"/>
      <c r="F42" s="4"/>
      <c r="G42" s="4"/>
      <c r="H42" s="4"/>
      <c r="I42" s="4"/>
      <c r="K42" s="4">
        <v>1</v>
      </c>
      <c r="L42" s="4">
        <v>1</v>
      </c>
      <c r="M42" s="4"/>
      <c r="N42" s="4"/>
      <c r="O42" s="4"/>
      <c r="P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K42" s="4"/>
      <c r="BL42" s="4">
        <v>0.1</v>
      </c>
      <c r="BM42" s="4">
        <v>0.1</v>
      </c>
      <c r="BN42" s="4"/>
      <c r="BO42" s="149">
        <v>0.1</v>
      </c>
      <c r="BP42" s="4"/>
      <c r="BQ42" s="4"/>
      <c r="BR42" s="4">
        <v>1</v>
      </c>
      <c r="BS42" s="4"/>
      <c r="BT42" s="4"/>
      <c r="BU42" s="4"/>
      <c r="BY42" s="1"/>
      <c r="BZ42" s="1"/>
      <c r="CA42" s="149">
        <v>1</v>
      </c>
      <c r="CB42" s="4"/>
      <c r="CC42" s="4"/>
      <c r="CD42" s="4"/>
      <c r="CE42" s="4"/>
      <c r="CF42" s="4"/>
      <c r="CG42" s="4"/>
      <c r="CH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Z42" s="4"/>
      <c r="DA42" s="149">
        <v>1</v>
      </c>
      <c r="DB42" s="149">
        <v>1</v>
      </c>
      <c r="DC42" s="149">
        <v>1</v>
      </c>
      <c r="DD42" s="149">
        <v>1</v>
      </c>
      <c r="DE42" s="149">
        <v>1</v>
      </c>
      <c r="DF42" s="149">
        <v>1</v>
      </c>
      <c r="DG42" s="149">
        <v>1</v>
      </c>
      <c r="DH42" s="149">
        <v>1</v>
      </c>
      <c r="DI42" s="149">
        <v>1</v>
      </c>
      <c r="DJ42" s="149">
        <v>1</v>
      </c>
      <c r="DK42" s="149">
        <v>1</v>
      </c>
      <c r="DL42" s="149">
        <v>1</v>
      </c>
      <c r="DM42" s="4"/>
    </row>
    <row r="43" spans="2:117" ht="14.25" customHeight="1" x14ac:dyDescent="0.3">
      <c r="B43" s="3">
        <v>0.41666666666666702</v>
      </c>
      <c r="D43" s="4"/>
      <c r="E43" s="4"/>
      <c r="F43" s="4"/>
      <c r="G43" s="4"/>
      <c r="H43" s="4"/>
      <c r="I43" s="4"/>
      <c r="K43" s="4">
        <v>1</v>
      </c>
      <c r="L43" s="4">
        <v>1</v>
      </c>
      <c r="M43" s="4"/>
      <c r="N43" s="4"/>
      <c r="O43" s="4"/>
      <c r="P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K43" s="4"/>
      <c r="BL43" s="4">
        <v>0.1</v>
      </c>
      <c r="BM43" s="4">
        <v>0.1</v>
      </c>
      <c r="BN43" s="4"/>
      <c r="BO43" s="149">
        <v>0.1</v>
      </c>
      <c r="BP43" s="4"/>
      <c r="BQ43" s="4"/>
      <c r="BR43" s="4">
        <v>1</v>
      </c>
      <c r="BS43" s="4"/>
      <c r="BT43" s="4"/>
      <c r="BU43" s="4"/>
      <c r="BY43" s="1"/>
      <c r="BZ43" s="1"/>
      <c r="CA43" s="149">
        <v>1</v>
      </c>
      <c r="CB43" s="4"/>
      <c r="CC43" s="4"/>
      <c r="CD43" s="4"/>
      <c r="CE43" s="4"/>
      <c r="CF43" s="4"/>
      <c r="CG43" s="4"/>
      <c r="CH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Z43" s="4"/>
      <c r="DA43" s="149">
        <v>1</v>
      </c>
      <c r="DB43" s="149">
        <v>1</v>
      </c>
      <c r="DC43" s="149">
        <v>1</v>
      </c>
      <c r="DD43" s="149">
        <v>1</v>
      </c>
      <c r="DE43" s="149">
        <v>1</v>
      </c>
      <c r="DF43" s="149">
        <v>1</v>
      </c>
      <c r="DG43" s="149">
        <v>1</v>
      </c>
      <c r="DH43" s="149">
        <v>1</v>
      </c>
      <c r="DI43" s="149">
        <v>1</v>
      </c>
      <c r="DJ43" s="149">
        <v>1</v>
      </c>
      <c r="DK43" s="149">
        <v>1</v>
      </c>
      <c r="DL43" s="149">
        <v>1</v>
      </c>
      <c r="DM43" s="4"/>
    </row>
    <row r="44" spans="2:117" ht="14.25" customHeight="1" x14ac:dyDescent="0.3">
      <c r="B44" s="3">
        <v>0.42708333333333398</v>
      </c>
      <c r="D44" s="4"/>
      <c r="E44" s="4"/>
      <c r="F44" s="4"/>
      <c r="G44" s="4"/>
      <c r="H44" s="4"/>
      <c r="I44" s="4"/>
      <c r="K44" s="4">
        <v>1</v>
      </c>
      <c r="L44" s="4">
        <v>1</v>
      </c>
      <c r="M44" s="4"/>
      <c r="N44" s="4"/>
      <c r="O44" s="4"/>
      <c r="P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K44" s="4"/>
      <c r="BL44" s="4">
        <v>0.1</v>
      </c>
      <c r="BM44" s="4">
        <v>0.1</v>
      </c>
      <c r="BN44" s="4"/>
      <c r="BO44" s="149">
        <v>0.1</v>
      </c>
      <c r="BP44" s="4"/>
      <c r="BQ44" s="4"/>
      <c r="BR44" s="4">
        <v>1</v>
      </c>
      <c r="BS44" s="4"/>
      <c r="BT44" s="4"/>
      <c r="BU44" s="4"/>
      <c r="BY44" s="1"/>
      <c r="BZ44" s="1"/>
      <c r="CA44" s="4">
        <v>0.1</v>
      </c>
      <c r="CB44" s="4"/>
      <c r="CC44" s="4"/>
      <c r="CD44" s="4"/>
      <c r="CE44" s="4"/>
      <c r="CF44" s="4"/>
      <c r="CG44" s="4"/>
      <c r="CH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Z44" s="4"/>
      <c r="DA44" s="149">
        <v>1</v>
      </c>
      <c r="DB44" s="149">
        <v>1</v>
      </c>
      <c r="DC44" s="149">
        <v>1</v>
      </c>
      <c r="DD44" s="149">
        <v>1</v>
      </c>
      <c r="DE44" s="149">
        <v>1</v>
      </c>
      <c r="DF44" s="149">
        <v>1</v>
      </c>
      <c r="DG44" s="149">
        <v>1</v>
      </c>
      <c r="DH44" s="149">
        <v>1</v>
      </c>
      <c r="DI44" s="149">
        <v>1</v>
      </c>
      <c r="DJ44" s="149">
        <v>1</v>
      </c>
      <c r="DK44" s="149">
        <v>1</v>
      </c>
      <c r="DL44" s="149">
        <v>1</v>
      </c>
      <c r="DM44" s="4"/>
    </row>
    <row r="45" spans="2:117" ht="14.25" customHeight="1" x14ac:dyDescent="0.3">
      <c r="B45" s="3">
        <v>0.4375</v>
      </c>
      <c r="D45" s="4"/>
      <c r="E45" s="4"/>
      <c r="F45" s="4"/>
      <c r="G45" s="4"/>
      <c r="H45" s="4"/>
      <c r="I45" s="4"/>
      <c r="K45" s="4">
        <v>1</v>
      </c>
      <c r="L45" s="4">
        <v>1</v>
      </c>
      <c r="M45" s="4"/>
      <c r="N45" s="4"/>
      <c r="O45" s="4"/>
      <c r="P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K45" s="4"/>
      <c r="BL45" s="4">
        <v>0.1</v>
      </c>
      <c r="BM45" s="4">
        <v>0.1</v>
      </c>
      <c r="BN45" s="4"/>
      <c r="BO45" s="149">
        <v>0.1</v>
      </c>
      <c r="BP45" s="4"/>
      <c r="BQ45" s="4"/>
      <c r="BR45" s="4">
        <v>1</v>
      </c>
      <c r="BS45" s="4"/>
      <c r="BT45" s="4"/>
      <c r="BU45" s="4"/>
      <c r="BY45" s="1"/>
      <c r="BZ45" s="1"/>
      <c r="CA45" s="4">
        <v>0.1</v>
      </c>
      <c r="CB45" s="4"/>
      <c r="CC45" s="4"/>
      <c r="CD45" s="4"/>
      <c r="CE45" s="4"/>
      <c r="CF45" s="4"/>
      <c r="CG45" s="4"/>
      <c r="CH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Z45" s="4"/>
      <c r="DA45" s="149">
        <v>1</v>
      </c>
      <c r="DB45" s="149">
        <v>1</v>
      </c>
      <c r="DC45" s="149">
        <v>1</v>
      </c>
      <c r="DD45" s="149">
        <v>1</v>
      </c>
      <c r="DE45" s="149">
        <v>1</v>
      </c>
      <c r="DF45" s="149">
        <v>1</v>
      </c>
      <c r="DG45" s="149">
        <v>1</v>
      </c>
      <c r="DH45" s="149">
        <v>1</v>
      </c>
      <c r="DI45" s="149">
        <v>1</v>
      </c>
      <c r="DJ45" s="149">
        <v>1</v>
      </c>
      <c r="DK45" s="149">
        <v>1</v>
      </c>
      <c r="DL45" s="149">
        <v>1</v>
      </c>
      <c r="DM45" s="4"/>
    </row>
    <row r="46" spans="2:117" ht="14.25" customHeight="1" x14ac:dyDescent="0.3">
      <c r="B46" s="3">
        <v>0.44791666666666702</v>
      </c>
      <c r="D46" s="4"/>
      <c r="E46" s="4"/>
      <c r="F46" s="4"/>
      <c r="G46" s="4"/>
      <c r="H46" s="4"/>
      <c r="I46" s="4"/>
      <c r="K46" s="4">
        <v>1</v>
      </c>
      <c r="L46" s="4">
        <v>1</v>
      </c>
      <c r="M46" s="4"/>
      <c r="N46" s="4"/>
      <c r="O46" s="4"/>
      <c r="P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K46" s="4"/>
      <c r="BL46" s="4">
        <v>0.1</v>
      </c>
      <c r="BM46" s="4">
        <v>0.1</v>
      </c>
      <c r="BN46" s="4"/>
      <c r="BO46" s="149">
        <v>0.1</v>
      </c>
      <c r="BP46" s="4"/>
      <c r="BQ46" s="4"/>
      <c r="BR46" s="4">
        <v>1</v>
      </c>
      <c r="BS46" s="4"/>
      <c r="BT46" s="4"/>
      <c r="BU46" s="4"/>
      <c r="BY46" s="1"/>
      <c r="BZ46" s="1"/>
      <c r="CA46" s="4">
        <v>1</v>
      </c>
      <c r="CB46" s="4"/>
      <c r="CC46" s="4"/>
      <c r="CD46" s="4"/>
      <c r="CE46" s="4"/>
      <c r="CF46" s="4"/>
      <c r="CG46" s="4"/>
      <c r="CH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Z46" s="4"/>
      <c r="DA46" s="149">
        <v>1</v>
      </c>
      <c r="DB46" s="149">
        <v>1</v>
      </c>
      <c r="DC46" s="149">
        <v>1</v>
      </c>
      <c r="DD46" s="149">
        <v>1</v>
      </c>
      <c r="DE46" s="149">
        <v>1</v>
      </c>
      <c r="DF46" s="149">
        <v>1</v>
      </c>
      <c r="DG46" s="149">
        <v>1</v>
      </c>
      <c r="DH46" s="149">
        <v>1</v>
      </c>
      <c r="DI46" s="149">
        <v>1</v>
      </c>
      <c r="DJ46" s="149">
        <v>1</v>
      </c>
      <c r="DK46" s="149">
        <v>1</v>
      </c>
      <c r="DL46" s="149">
        <v>1</v>
      </c>
      <c r="DM46" s="4"/>
    </row>
    <row r="47" spans="2:117" ht="14.25" customHeight="1" x14ac:dyDescent="0.3">
      <c r="B47" s="3">
        <v>0.45833333333333398</v>
      </c>
      <c r="D47" s="4"/>
      <c r="E47" s="4"/>
      <c r="F47" s="4"/>
      <c r="G47" s="4"/>
      <c r="H47" s="4"/>
      <c r="I47" s="4"/>
      <c r="K47" s="4">
        <v>1</v>
      </c>
      <c r="L47" s="4">
        <v>1</v>
      </c>
      <c r="M47" s="4"/>
      <c r="N47" s="4"/>
      <c r="O47" s="4"/>
      <c r="P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K47" s="4"/>
      <c r="BL47" s="4">
        <v>0.1</v>
      </c>
      <c r="BM47" s="4">
        <v>0.1</v>
      </c>
      <c r="BN47" s="4"/>
      <c r="BO47" s="149">
        <v>0.1</v>
      </c>
      <c r="BP47" s="4"/>
      <c r="BQ47" s="4"/>
      <c r="BR47" s="4">
        <v>1</v>
      </c>
      <c r="BS47" s="4"/>
      <c r="BT47" s="4"/>
      <c r="BU47" s="4"/>
      <c r="BY47" s="1"/>
      <c r="BZ47" s="1"/>
      <c r="CA47" s="4">
        <v>1</v>
      </c>
      <c r="CB47" s="4"/>
      <c r="CC47" s="4"/>
      <c r="CD47" s="4"/>
      <c r="CE47" s="4"/>
      <c r="CF47" s="4"/>
      <c r="CG47" s="4"/>
      <c r="CH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Z47" s="4"/>
      <c r="DA47" s="149">
        <v>1</v>
      </c>
      <c r="DB47" s="149">
        <v>1</v>
      </c>
      <c r="DC47" s="149">
        <v>1</v>
      </c>
      <c r="DD47" s="149">
        <v>1</v>
      </c>
      <c r="DE47" s="149">
        <v>1</v>
      </c>
      <c r="DF47" s="149">
        <v>1</v>
      </c>
      <c r="DG47" s="149">
        <v>1</v>
      </c>
      <c r="DH47" s="149">
        <v>1</v>
      </c>
      <c r="DI47" s="149">
        <v>1</v>
      </c>
      <c r="DJ47" s="149">
        <v>1</v>
      </c>
      <c r="DK47" s="149">
        <v>1</v>
      </c>
      <c r="DL47" s="149">
        <v>1</v>
      </c>
      <c r="DM47" s="4"/>
    </row>
    <row r="48" spans="2:117" ht="14.25" customHeight="1" x14ac:dyDescent="0.3">
      <c r="B48" s="3">
        <v>0.46875</v>
      </c>
      <c r="D48" s="4"/>
      <c r="E48" s="4"/>
      <c r="F48" s="4"/>
      <c r="G48" s="4"/>
      <c r="H48" s="4"/>
      <c r="I48" s="4"/>
      <c r="K48" s="4">
        <v>1</v>
      </c>
      <c r="L48" s="4">
        <v>1</v>
      </c>
      <c r="M48" s="4"/>
      <c r="N48" s="4"/>
      <c r="O48" s="4"/>
      <c r="P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K48" s="4"/>
      <c r="BL48" s="4">
        <v>0.1</v>
      </c>
      <c r="BM48" s="4">
        <v>0.1</v>
      </c>
      <c r="BN48" s="4"/>
      <c r="BO48" s="149">
        <v>0.1</v>
      </c>
      <c r="BP48" s="4"/>
      <c r="BQ48" s="4"/>
      <c r="BR48" s="4">
        <v>1</v>
      </c>
      <c r="BS48" s="4"/>
      <c r="BT48" s="4"/>
      <c r="BU48" s="4"/>
      <c r="BY48" s="1"/>
      <c r="BZ48" s="1"/>
      <c r="CA48" s="4">
        <v>0.1</v>
      </c>
      <c r="CB48" s="4"/>
      <c r="CC48" s="4"/>
      <c r="CD48" s="4"/>
      <c r="CE48" s="4"/>
      <c r="CF48" s="4"/>
      <c r="CG48" s="4"/>
      <c r="CH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Z48" s="4"/>
      <c r="DA48" s="149">
        <v>1</v>
      </c>
      <c r="DB48" s="149">
        <v>1</v>
      </c>
      <c r="DC48" s="149">
        <v>1</v>
      </c>
      <c r="DD48" s="149">
        <v>1</v>
      </c>
      <c r="DE48" s="149">
        <v>1</v>
      </c>
      <c r="DF48" s="149">
        <v>1</v>
      </c>
      <c r="DG48" s="149">
        <v>1</v>
      </c>
      <c r="DH48" s="149">
        <v>1</v>
      </c>
      <c r="DI48" s="149">
        <v>1</v>
      </c>
      <c r="DJ48" s="149">
        <v>1</v>
      </c>
      <c r="DK48" s="149">
        <v>1</v>
      </c>
      <c r="DL48" s="149">
        <v>1</v>
      </c>
      <c r="DM48" s="4"/>
    </row>
    <row r="49" spans="2:117" ht="14.25" customHeight="1" x14ac:dyDescent="0.3">
      <c r="B49" s="3">
        <v>0.47916666666666702</v>
      </c>
      <c r="D49" s="4"/>
      <c r="E49" s="4"/>
      <c r="F49" s="4"/>
      <c r="G49" s="4"/>
      <c r="H49" s="4"/>
      <c r="I49" s="4"/>
      <c r="K49" s="4">
        <v>1</v>
      </c>
      <c r="L49" s="4">
        <v>1</v>
      </c>
      <c r="M49" s="4"/>
      <c r="N49" s="4"/>
      <c r="O49" s="4"/>
      <c r="P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K49" s="4"/>
      <c r="BL49" s="4">
        <v>0.1</v>
      </c>
      <c r="BM49" s="4">
        <v>0.1</v>
      </c>
      <c r="BN49" s="4"/>
      <c r="BO49" s="149">
        <v>0.1</v>
      </c>
      <c r="BP49" s="4"/>
      <c r="BQ49" s="4"/>
      <c r="BR49" s="4">
        <v>1</v>
      </c>
      <c r="BS49" s="4"/>
      <c r="BT49" s="4"/>
      <c r="BU49" s="4"/>
      <c r="BY49" s="1"/>
      <c r="BZ49" s="1"/>
      <c r="CA49" s="4">
        <v>0.1</v>
      </c>
      <c r="CB49" s="4"/>
      <c r="CC49" s="4"/>
      <c r="CD49" s="4"/>
      <c r="CE49" s="4"/>
      <c r="CF49" s="4"/>
      <c r="CG49" s="4"/>
      <c r="CH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Z49" s="4"/>
      <c r="DA49" s="149">
        <v>1</v>
      </c>
      <c r="DB49" s="149">
        <v>1</v>
      </c>
      <c r="DC49" s="149">
        <v>1</v>
      </c>
      <c r="DD49" s="149">
        <v>1</v>
      </c>
      <c r="DE49" s="149">
        <v>1</v>
      </c>
      <c r="DF49" s="149">
        <v>1</v>
      </c>
      <c r="DG49" s="149">
        <v>1</v>
      </c>
      <c r="DH49" s="149">
        <v>1</v>
      </c>
      <c r="DI49" s="149">
        <v>1</v>
      </c>
      <c r="DJ49" s="149">
        <v>1</v>
      </c>
      <c r="DK49" s="149">
        <v>1</v>
      </c>
      <c r="DL49" s="149">
        <v>1</v>
      </c>
      <c r="DM49" s="4"/>
    </row>
    <row r="50" spans="2:117" ht="14.25" customHeight="1" x14ac:dyDescent="0.3">
      <c r="B50" s="3">
        <v>0.48958333333333398</v>
      </c>
      <c r="D50" s="4"/>
      <c r="E50" s="4"/>
      <c r="F50" s="4"/>
      <c r="G50" s="4"/>
      <c r="H50" s="4"/>
      <c r="I50" s="4"/>
      <c r="K50" s="4">
        <v>1</v>
      </c>
      <c r="L50" s="4">
        <v>1</v>
      </c>
      <c r="M50" s="4"/>
      <c r="N50" s="4"/>
      <c r="O50" s="4"/>
      <c r="P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K50" s="4"/>
      <c r="BL50" s="4">
        <v>0.1</v>
      </c>
      <c r="BM50" s="4">
        <v>0.1</v>
      </c>
      <c r="BN50" s="4"/>
      <c r="BO50" s="149">
        <v>1</v>
      </c>
      <c r="BP50" s="4"/>
      <c r="BQ50" s="4"/>
      <c r="BR50" s="4">
        <v>1</v>
      </c>
      <c r="BS50" s="4"/>
      <c r="BT50" s="4"/>
      <c r="BU50" s="4"/>
      <c r="BY50" s="1"/>
      <c r="BZ50" s="1"/>
      <c r="CA50" s="149">
        <v>1</v>
      </c>
      <c r="CB50" s="4"/>
      <c r="CC50" s="4"/>
      <c r="CD50" s="4"/>
      <c r="CE50" s="4"/>
      <c r="CF50" s="4"/>
      <c r="CG50" s="4"/>
      <c r="CH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Z50" s="4"/>
      <c r="DA50" s="149">
        <v>1</v>
      </c>
      <c r="DB50" s="149">
        <v>1</v>
      </c>
      <c r="DC50" s="149">
        <v>1</v>
      </c>
      <c r="DD50" s="149">
        <v>1</v>
      </c>
      <c r="DE50" s="149">
        <v>1</v>
      </c>
      <c r="DF50" s="149">
        <v>1</v>
      </c>
      <c r="DG50" s="149">
        <v>1</v>
      </c>
      <c r="DH50" s="149">
        <v>1</v>
      </c>
      <c r="DI50" s="149">
        <v>1</v>
      </c>
      <c r="DJ50" s="149">
        <v>1</v>
      </c>
      <c r="DK50" s="149">
        <v>1</v>
      </c>
      <c r="DL50" s="149">
        <v>1</v>
      </c>
      <c r="DM50" s="4"/>
    </row>
    <row r="51" spans="2:117" ht="14.25" customHeight="1" x14ac:dyDescent="0.3">
      <c r="B51" s="3">
        <v>0.5</v>
      </c>
      <c r="D51" s="4"/>
      <c r="E51" s="4"/>
      <c r="F51" s="4"/>
      <c r="G51" s="4"/>
      <c r="H51" s="4"/>
      <c r="I51" s="4"/>
      <c r="K51" s="4">
        <v>1</v>
      </c>
      <c r="L51" s="4">
        <v>1</v>
      </c>
      <c r="M51" s="4"/>
      <c r="N51" s="4"/>
      <c r="O51" s="4"/>
      <c r="P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K51" s="4"/>
      <c r="BL51" s="4">
        <v>0.1</v>
      </c>
      <c r="BM51" s="4">
        <v>0.1</v>
      </c>
      <c r="BN51" s="4"/>
      <c r="BO51" s="149">
        <v>1</v>
      </c>
      <c r="BP51" s="4"/>
      <c r="BQ51" s="4"/>
      <c r="BR51" s="4">
        <v>1</v>
      </c>
      <c r="BS51" s="4"/>
      <c r="BT51" s="4"/>
      <c r="BU51" s="4"/>
      <c r="BY51" s="1"/>
      <c r="BZ51" s="1"/>
      <c r="CA51" s="149">
        <v>1</v>
      </c>
      <c r="CB51" s="4"/>
      <c r="CC51" s="4"/>
      <c r="CD51" s="4"/>
      <c r="CE51" s="4"/>
      <c r="CF51" s="4"/>
      <c r="CG51" s="4"/>
      <c r="CH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Z51" s="4"/>
      <c r="DA51" s="149">
        <v>1</v>
      </c>
      <c r="DB51" s="149">
        <v>1</v>
      </c>
      <c r="DC51" s="149">
        <v>1</v>
      </c>
      <c r="DD51" s="149">
        <v>1</v>
      </c>
      <c r="DE51" s="149">
        <v>1</v>
      </c>
      <c r="DF51" s="149">
        <v>1</v>
      </c>
      <c r="DG51" s="149">
        <v>1</v>
      </c>
      <c r="DH51" s="149">
        <v>1</v>
      </c>
      <c r="DI51" s="149">
        <v>1</v>
      </c>
      <c r="DJ51" s="149">
        <v>1</v>
      </c>
      <c r="DK51" s="149">
        <v>1</v>
      </c>
      <c r="DL51" s="149">
        <v>1</v>
      </c>
      <c r="DM51" s="4"/>
    </row>
    <row r="52" spans="2:117" ht="14.25" customHeight="1" x14ac:dyDescent="0.3">
      <c r="B52" s="3">
        <v>0.51041666666666696</v>
      </c>
      <c r="D52" s="4"/>
      <c r="E52" s="4"/>
      <c r="F52" s="4"/>
      <c r="G52" s="4"/>
      <c r="H52" s="4"/>
      <c r="I52" s="4"/>
      <c r="K52" s="4">
        <v>1</v>
      </c>
      <c r="L52" s="4">
        <v>1</v>
      </c>
      <c r="M52" s="4"/>
      <c r="N52" s="4"/>
      <c r="O52" s="4"/>
      <c r="P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K52" s="4"/>
      <c r="BL52" s="4">
        <v>0.1</v>
      </c>
      <c r="BM52" s="4">
        <v>0.1</v>
      </c>
      <c r="BN52" s="4"/>
      <c r="BO52" s="149">
        <v>1</v>
      </c>
      <c r="BP52" s="4"/>
      <c r="BQ52" s="4"/>
      <c r="BR52" s="4">
        <v>1</v>
      </c>
      <c r="BS52" s="4"/>
      <c r="BT52" s="4"/>
      <c r="BU52" s="4"/>
      <c r="BY52" s="1"/>
      <c r="BZ52" s="1"/>
      <c r="CA52" s="4">
        <v>0.1</v>
      </c>
      <c r="CB52" s="4"/>
      <c r="CC52" s="4"/>
      <c r="CD52" s="4"/>
      <c r="CE52" s="4"/>
      <c r="CF52" s="4"/>
      <c r="CG52" s="4"/>
      <c r="CH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Z52" s="4"/>
      <c r="DA52" s="149">
        <v>1</v>
      </c>
      <c r="DB52" s="149">
        <v>1</v>
      </c>
      <c r="DC52" s="149">
        <v>1</v>
      </c>
      <c r="DD52" s="149">
        <v>1</v>
      </c>
      <c r="DE52" s="149">
        <v>1</v>
      </c>
      <c r="DF52" s="149">
        <v>1</v>
      </c>
      <c r="DG52" s="149">
        <v>1</v>
      </c>
      <c r="DH52" s="149">
        <v>1</v>
      </c>
      <c r="DI52" s="149">
        <v>1</v>
      </c>
      <c r="DJ52" s="149">
        <v>1</v>
      </c>
      <c r="DK52" s="149">
        <v>1</v>
      </c>
      <c r="DL52" s="149">
        <v>1</v>
      </c>
      <c r="DM52" s="4"/>
    </row>
    <row r="53" spans="2:117" ht="14.25" customHeight="1" x14ac:dyDescent="0.3">
      <c r="B53" s="3">
        <v>0.52083333333333404</v>
      </c>
      <c r="D53" s="4"/>
      <c r="E53" s="4"/>
      <c r="F53" s="4"/>
      <c r="G53" s="4"/>
      <c r="H53" s="4"/>
      <c r="I53" s="4"/>
      <c r="K53" s="4">
        <v>1</v>
      </c>
      <c r="L53" s="4">
        <v>1</v>
      </c>
      <c r="M53" s="4"/>
      <c r="N53" s="4"/>
      <c r="O53" s="4"/>
      <c r="P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K53" s="4"/>
      <c r="BL53" s="4">
        <v>0.1</v>
      </c>
      <c r="BM53" s="4">
        <v>0.1</v>
      </c>
      <c r="BN53" s="4"/>
      <c r="BO53" s="149">
        <v>1</v>
      </c>
      <c r="BP53" s="4"/>
      <c r="BQ53" s="4"/>
      <c r="BR53" s="4">
        <v>1</v>
      </c>
      <c r="BS53" s="4"/>
      <c r="BT53" s="4"/>
      <c r="BU53" s="4"/>
      <c r="BY53" s="1"/>
      <c r="BZ53" s="1"/>
      <c r="CA53" s="4">
        <v>0.1</v>
      </c>
      <c r="CB53" s="4"/>
      <c r="CC53" s="4"/>
      <c r="CD53" s="4"/>
      <c r="CE53" s="4"/>
      <c r="CF53" s="4"/>
      <c r="CG53" s="4"/>
      <c r="CH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Z53" s="4"/>
      <c r="DA53" s="149">
        <v>1</v>
      </c>
      <c r="DB53" s="149">
        <v>1</v>
      </c>
      <c r="DC53" s="149">
        <v>1</v>
      </c>
      <c r="DD53" s="149">
        <v>1</v>
      </c>
      <c r="DE53" s="149">
        <v>1</v>
      </c>
      <c r="DF53" s="149">
        <v>1</v>
      </c>
      <c r="DG53" s="149">
        <v>1</v>
      </c>
      <c r="DH53" s="149">
        <v>1</v>
      </c>
      <c r="DI53" s="149">
        <v>1</v>
      </c>
      <c r="DJ53" s="149">
        <v>1</v>
      </c>
      <c r="DK53" s="149">
        <v>1</v>
      </c>
      <c r="DL53" s="149">
        <v>1</v>
      </c>
      <c r="DM53" s="4"/>
    </row>
    <row r="54" spans="2:117" ht="14.25" customHeight="1" x14ac:dyDescent="0.3">
      <c r="B54" s="3">
        <v>0.53125</v>
      </c>
      <c r="D54" s="4"/>
      <c r="E54" s="4"/>
      <c r="F54" s="4"/>
      <c r="G54" s="4"/>
      <c r="H54" s="4"/>
      <c r="I54" s="4"/>
      <c r="K54" s="4">
        <v>1</v>
      </c>
      <c r="L54" s="4">
        <v>1</v>
      </c>
      <c r="M54" s="4"/>
      <c r="N54" s="4"/>
      <c r="O54" s="4"/>
      <c r="P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K54" s="4"/>
      <c r="BL54" s="4">
        <v>0.1</v>
      </c>
      <c r="BM54" s="4">
        <v>0.1</v>
      </c>
      <c r="BN54" s="4"/>
      <c r="BO54" s="149">
        <v>1</v>
      </c>
      <c r="BP54" s="4"/>
      <c r="BQ54" s="4"/>
      <c r="BR54" s="4">
        <v>1</v>
      </c>
      <c r="BS54" s="4"/>
      <c r="BT54" s="4"/>
      <c r="BU54" s="4"/>
      <c r="BY54" s="1"/>
      <c r="BZ54" s="1"/>
      <c r="CA54" s="4">
        <v>1</v>
      </c>
      <c r="CB54" s="4"/>
      <c r="CC54" s="4"/>
      <c r="CD54" s="4"/>
      <c r="CE54" s="4"/>
      <c r="CF54" s="4"/>
      <c r="CG54" s="4"/>
      <c r="CH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Z54" s="4"/>
      <c r="DA54" s="149">
        <v>1</v>
      </c>
      <c r="DB54" s="149">
        <v>1</v>
      </c>
      <c r="DC54" s="149">
        <v>1</v>
      </c>
      <c r="DD54" s="149">
        <v>1</v>
      </c>
      <c r="DE54" s="149">
        <v>1</v>
      </c>
      <c r="DF54" s="149">
        <v>1</v>
      </c>
      <c r="DG54" s="149">
        <v>1</v>
      </c>
      <c r="DH54" s="149">
        <v>1</v>
      </c>
      <c r="DI54" s="149">
        <v>1</v>
      </c>
      <c r="DJ54" s="149">
        <v>1</v>
      </c>
      <c r="DK54" s="149">
        <v>1</v>
      </c>
      <c r="DL54" s="149">
        <v>1</v>
      </c>
      <c r="DM54" s="4"/>
    </row>
    <row r="55" spans="2:117" ht="14.25" customHeight="1" x14ac:dyDescent="0.3">
      <c r="B55" s="3">
        <v>0.54166666666666696</v>
      </c>
      <c r="D55" s="4"/>
      <c r="E55" s="4"/>
      <c r="F55" s="4"/>
      <c r="G55" s="4"/>
      <c r="H55" s="4"/>
      <c r="I55" s="4"/>
      <c r="K55" s="4">
        <v>1</v>
      </c>
      <c r="L55" s="4">
        <v>1</v>
      </c>
      <c r="M55" s="4"/>
      <c r="N55" s="4"/>
      <c r="O55" s="4"/>
      <c r="P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K55" s="4"/>
      <c r="BL55" s="4">
        <v>0.1</v>
      </c>
      <c r="BM55" s="4">
        <v>0.1</v>
      </c>
      <c r="BN55" s="4"/>
      <c r="BO55" s="149">
        <v>1</v>
      </c>
      <c r="BP55" s="4"/>
      <c r="BQ55" s="4"/>
      <c r="BR55" s="4">
        <v>1</v>
      </c>
      <c r="BS55" s="4"/>
      <c r="BT55" s="4"/>
      <c r="BU55" s="4"/>
      <c r="BY55" s="1"/>
      <c r="BZ55" s="1"/>
      <c r="CA55" s="4">
        <v>1</v>
      </c>
      <c r="CB55" s="4"/>
      <c r="CC55" s="4"/>
      <c r="CD55" s="4"/>
      <c r="CE55" s="4"/>
      <c r="CF55" s="4"/>
      <c r="CG55" s="4"/>
      <c r="CH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Z55" s="4"/>
      <c r="DA55" s="149">
        <v>1</v>
      </c>
      <c r="DB55" s="149">
        <v>1</v>
      </c>
      <c r="DC55" s="149">
        <v>1</v>
      </c>
      <c r="DD55" s="149">
        <v>1</v>
      </c>
      <c r="DE55" s="149">
        <v>1</v>
      </c>
      <c r="DF55" s="149">
        <v>1</v>
      </c>
      <c r="DG55" s="149">
        <v>1</v>
      </c>
      <c r="DH55" s="149">
        <v>1</v>
      </c>
      <c r="DI55" s="149">
        <v>1</v>
      </c>
      <c r="DJ55" s="149">
        <v>1</v>
      </c>
      <c r="DK55" s="149">
        <v>1</v>
      </c>
      <c r="DL55" s="149">
        <v>1</v>
      </c>
      <c r="DM55" s="4"/>
    </row>
    <row r="56" spans="2:117" ht="14.25" customHeight="1" x14ac:dyDescent="0.3">
      <c r="B56" s="3">
        <v>0.55208333333333404</v>
      </c>
      <c r="D56" s="4"/>
      <c r="E56" s="4"/>
      <c r="F56" s="4"/>
      <c r="G56" s="4"/>
      <c r="H56" s="4"/>
      <c r="I56" s="4"/>
      <c r="K56" s="4">
        <v>1</v>
      </c>
      <c r="L56" s="4">
        <v>1</v>
      </c>
      <c r="M56" s="4"/>
      <c r="N56" s="4"/>
      <c r="O56" s="4"/>
      <c r="P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K56" s="4"/>
      <c r="BL56" s="4">
        <v>0.1</v>
      </c>
      <c r="BM56" s="4">
        <v>0.1</v>
      </c>
      <c r="BN56" s="4"/>
      <c r="BO56" s="149">
        <v>1</v>
      </c>
      <c r="BP56" s="4"/>
      <c r="BQ56" s="4"/>
      <c r="BR56" s="4">
        <v>1</v>
      </c>
      <c r="BS56" s="4"/>
      <c r="BT56" s="4"/>
      <c r="BU56" s="4"/>
      <c r="BY56" s="1"/>
      <c r="BZ56" s="1"/>
      <c r="CA56" s="4">
        <v>0.1</v>
      </c>
      <c r="CB56" s="4"/>
      <c r="CC56" s="4"/>
      <c r="CD56" s="4"/>
      <c r="CE56" s="4"/>
      <c r="CF56" s="4"/>
      <c r="CG56" s="4"/>
      <c r="CH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Z56" s="4"/>
      <c r="DA56" s="149">
        <v>1</v>
      </c>
      <c r="DB56" s="149">
        <v>1</v>
      </c>
      <c r="DC56" s="149">
        <v>1</v>
      </c>
      <c r="DD56" s="149">
        <v>1</v>
      </c>
      <c r="DE56" s="149">
        <v>1</v>
      </c>
      <c r="DF56" s="149">
        <v>1</v>
      </c>
      <c r="DG56" s="149">
        <v>1</v>
      </c>
      <c r="DH56" s="149">
        <v>1</v>
      </c>
      <c r="DI56" s="149">
        <v>1</v>
      </c>
      <c r="DJ56" s="149">
        <v>1</v>
      </c>
      <c r="DK56" s="149">
        <v>1</v>
      </c>
      <c r="DL56" s="149">
        <v>1</v>
      </c>
      <c r="DM56" s="4"/>
    </row>
    <row r="57" spans="2:117" ht="14.25" customHeight="1" x14ac:dyDescent="0.3">
      <c r="B57" s="3">
        <v>0.5625</v>
      </c>
      <c r="D57" s="4"/>
      <c r="E57" s="4"/>
      <c r="F57" s="4"/>
      <c r="G57" s="4"/>
      <c r="H57" s="4"/>
      <c r="I57" s="4"/>
      <c r="K57" s="4">
        <v>1</v>
      </c>
      <c r="L57" s="4">
        <v>1</v>
      </c>
      <c r="M57" s="4"/>
      <c r="N57" s="4"/>
      <c r="O57" s="4"/>
      <c r="P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K57" s="4"/>
      <c r="BL57" s="4">
        <v>0.1</v>
      </c>
      <c r="BM57" s="4">
        <v>0.1</v>
      </c>
      <c r="BN57" s="4"/>
      <c r="BO57" s="149">
        <v>1</v>
      </c>
      <c r="BP57" s="4"/>
      <c r="BQ57" s="4"/>
      <c r="BR57" s="4">
        <v>1</v>
      </c>
      <c r="BS57" s="4"/>
      <c r="BT57" s="4"/>
      <c r="BU57" s="4"/>
      <c r="BY57" s="1"/>
      <c r="BZ57" s="1"/>
      <c r="CA57" s="4">
        <v>0.1</v>
      </c>
      <c r="CB57" s="4"/>
      <c r="CC57" s="4"/>
      <c r="CD57" s="4"/>
      <c r="CE57" s="4"/>
      <c r="CF57" s="4"/>
      <c r="CG57" s="4"/>
      <c r="CH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Z57" s="4"/>
      <c r="DA57" s="149">
        <v>1</v>
      </c>
      <c r="DB57" s="149">
        <v>1</v>
      </c>
      <c r="DC57" s="149">
        <v>1</v>
      </c>
      <c r="DD57" s="149">
        <v>1</v>
      </c>
      <c r="DE57" s="149">
        <v>1</v>
      </c>
      <c r="DF57" s="149">
        <v>1</v>
      </c>
      <c r="DG57" s="149">
        <v>1</v>
      </c>
      <c r="DH57" s="149">
        <v>1</v>
      </c>
      <c r="DI57" s="149">
        <v>1</v>
      </c>
      <c r="DJ57" s="149">
        <v>1</v>
      </c>
      <c r="DK57" s="149">
        <v>1</v>
      </c>
      <c r="DL57" s="149">
        <v>1</v>
      </c>
      <c r="DM57" s="4"/>
    </row>
    <row r="58" spans="2:117" ht="14.25" customHeight="1" x14ac:dyDescent="0.3">
      <c r="B58" s="3">
        <v>0.57291666666666696</v>
      </c>
      <c r="D58" s="4"/>
      <c r="E58" s="4"/>
      <c r="F58" s="4"/>
      <c r="G58" s="4"/>
      <c r="H58" s="4"/>
      <c r="I58" s="4"/>
      <c r="K58" s="4">
        <v>1</v>
      </c>
      <c r="L58" s="4">
        <v>1</v>
      </c>
      <c r="M58" s="4"/>
      <c r="N58" s="4"/>
      <c r="O58" s="4"/>
      <c r="P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K58" s="4"/>
      <c r="BL58" s="4">
        <v>0.1</v>
      </c>
      <c r="BM58" s="4">
        <v>0.1</v>
      </c>
      <c r="BN58" s="4"/>
      <c r="BO58" s="149">
        <v>0.1</v>
      </c>
      <c r="BP58" s="4"/>
      <c r="BQ58" s="4"/>
      <c r="BR58" s="4">
        <v>1</v>
      </c>
      <c r="BS58" s="4"/>
      <c r="BT58" s="4"/>
      <c r="BU58" s="4"/>
      <c r="BY58" s="1"/>
      <c r="BZ58" s="1"/>
      <c r="CA58" s="149">
        <v>1</v>
      </c>
      <c r="CB58" s="4"/>
      <c r="CC58" s="4"/>
      <c r="CD58" s="4"/>
      <c r="CE58" s="4"/>
      <c r="CF58" s="4"/>
      <c r="CG58" s="4"/>
      <c r="CH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Z58" s="4"/>
      <c r="DA58" s="149">
        <v>1</v>
      </c>
      <c r="DB58" s="149">
        <v>1</v>
      </c>
      <c r="DC58" s="149">
        <v>1</v>
      </c>
      <c r="DD58" s="149">
        <v>1</v>
      </c>
      <c r="DE58" s="149">
        <v>1</v>
      </c>
      <c r="DF58" s="149">
        <v>1</v>
      </c>
      <c r="DG58" s="149">
        <v>1</v>
      </c>
      <c r="DH58" s="149">
        <v>1</v>
      </c>
      <c r="DI58" s="149">
        <v>1</v>
      </c>
      <c r="DJ58" s="149">
        <v>1</v>
      </c>
      <c r="DK58" s="149">
        <v>1</v>
      </c>
      <c r="DL58" s="149">
        <v>1</v>
      </c>
      <c r="DM58" s="4"/>
    </row>
    <row r="59" spans="2:117" ht="14.25" customHeight="1" x14ac:dyDescent="0.3">
      <c r="B59" s="3">
        <v>0.58333333333333404</v>
      </c>
      <c r="D59" s="4"/>
      <c r="E59" s="4"/>
      <c r="F59" s="4"/>
      <c r="G59" s="4"/>
      <c r="H59" s="4"/>
      <c r="I59" s="4"/>
      <c r="K59" s="4">
        <v>1</v>
      </c>
      <c r="L59" s="4">
        <v>1</v>
      </c>
      <c r="M59" s="4"/>
      <c r="N59" s="4"/>
      <c r="O59" s="4"/>
      <c r="P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K59" s="4"/>
      <c r="BL59" s="4">
        <v>0.1</v>
      </c>
      <c r="BM59" s="4">
        <v>0.1</v>
      </c>
      <c r="BN59" s="4"/>
      <c r="BO59" s="149">
        <v>0.1</v>
      </c>
      <c r="BP59" s="4"/>
      <c r="BQ59" s="4"/>
      <c r="BR59" s="4">
        <v>1</v>
      </c>
      <c r="BS59" s="4"/>
      <c r="BT59" s="4"/>
      <c r="BU59" s="4"/>
      <c r="BY59" s="1"/>
      <c r="BZ59" s="1"/>
      <c r="CA59" s="149">
        <v>1</v>
      </c>
      <c r="CB59" s="4"/>
      <c r="CC59" s="4"/>
      <c r="CD59" s="4"/>
      <c r="CE59" s="4"/>
      <c r="CF59" s="4"/>
      <c r="CG59" s="4"/>
      <c r="CH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Z59" s="4"/>
      <c r="DA59" s="149">
        <v>1</v>
      </c>
      <c r="DB59" s="149">
        <v>1</v>
      </c>
      <c r="DC59" s="149">
        <v>1</v>
      </c>
      <c r="DD59" s="149">
        <v>1</v>
      </c>
      <c r="DE59" s="149">
        <v>1</v>
      </c>
      <c r="DF59" s="149">
        <v>1</v>
      </c>
      <c r="DG59" s="149">
        <v>1</v>
      </c>
      <c r="DH59" s="149">
        <v>1</v>
      </c>
      <c r="DI59" s="149">
        <v>1</v>
      </c>
      <c r="DJ59" s="149">
        <v>1</v>
      </c>
      <c r="DK59" s="149">
        <v>1</v>
      </c>
      <c r="DL59" s="149">
        <v>1</v>
      </c>
      <c r="DM59" s="4"/>
    </row>
    <row r="60" spans="2:117" ht="14.25" customHeight="1" x14ac:dyDescent="0.3">
      <c r="B60" s="3">
        <v>0.59375</v>
      </c>
      <c r="D60" s="4"/>
      <c r="E60" s="4"/>
      <c r="F60" s="4"/>
      <c r="G60" s="4"/>
      <c r="H60" s="4"/>
      <c r="I60" s="4"/>
      <c r="K60" s="4">
        <v>1</v>
      </c>
      <c r="L60" s="4">
        <v>1</v>
      </c>
      <c r="M60" s="4"/>
      <c r="N60" s="4"/>
      <c r="O60" s="4"/>
      <c r="P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K60" s="4"/>
      <c r="BL60" s="4">
        <v>0.1</v>
      </c>
      <c r="BM60" s="4">
        <v>0.1</v>
      </c>
      <c r="BN60" s="4"/>
      <c r="BO60" s="149">
        <v>0.1</v>
      </c>
      <c r="BP60" s="4"/>
      <c r="BQ60" s="4"/>
      <c r="BR60" s="4">
        <v>1</v>
      </c>
      <c r="BS60" s="4"/>
      <c r="BT60" s="4"/>
      <c r="BU60" s="4"/>
      <c r="BY60" s="1"/>
      <c r="BZ60" s="1"/>
      <c r="CA60" s="4">
        <v>0.1</v>
      </c>
      <c r="CB60" s="4"/>
      <c r="CC60" s="4"/>
      <c r="CD60" s="4"/>
      <c r="CE60" s="4"/>
      <c r="CF60" s="4"/>
      <c r="CG60" s="4"/>
      <c r="CH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Z60" s="4"/>
      <c r="DA60" s="149">
        <v>1</v>
      </c>
      <c r="DB60" s="149">
        <v>1</v>
      </c>
      <c r="DC60" s="149">
        <v>1</v>
      </c>
      <c r="DD60" s="149">
        <v>1</v>
      </c>
      <c r="DE60" s="149">
        <v>1</v>
      </c>
      <c r="DF60" s="149">
        <v>1</v>
      </c>
      <c r="DG60" s="149">
        <v>1</v>
      </c>
      <c r="DH60" s="149">
        <v>1</v>
      </c>
      <c r="DI60" s="149">
        <v>1</v>
      </c>
      <c r="DJ60" s="149">
        <v>1</v>
      </c>
      <c r="DK60" s="149">
        <v>1</v>
      </c>
      <c r="DL60" s="149">
        <v>1</v>
      </c>
      <c r="DM60" s="4"/>
    </row>
    <row r="61" spans="2:117" ht="14.25" customHeight="1" x14ac:dyDescent="0.3">
      <c r="B61" s="3">
        <v>0.60416666666666696</v>
      </c>
      <c r="D61" s="4"/>
      <c r="E61" s="4"/>
      <c r="F61" s="4"/>
      <c r="G61" s="4"/>
      <c r="H61" s="4"/>
      <c r="I61" s="4"/>
      <c r="K61" s="4">
        <v>1</v>
      </c>
      <c r="L61" s="4">
        <v>1</v>
      </c>
      <c r="M61" s="4"/>
      <c r="N61" s="4"/>
      <c r="O61" s="4"/>
      <c r="P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K61" s="4"/>
      <c r="BL61" s="4">
        <v>0.1</v>
      </c>
      <c r="BM61" s="4">
        <v>0.1</v>
      </c>
      <c r="BN61" s="4"/>
      <c r="BO61" s="149">
        <v>0.1</v>
      </c>
      <c r="BP61" s="4"/>
      <c r="BQ61" s="4"/>
      <c r="BR61" s="4">
        <v>1</v>
      </c>
      <c r="BS61" s="4"/>
      <c r="BT61" s="4"/>
      <c r="BU61" s="4"/>
      <c r="BY61" s="1"/>
      <c r="BZ61" s="1"/>
      <c r="CA61" s="4">
        <v>0.1</v>
      </c>
      <c r="CB61" s="4"/>
      <c r="CC61" s="4"/>
      <c r="CD61" s="4"/>
      <c r="CE61" s="4"/>
      <c r="CF61" s="4"/>
      <c r="CG61" s="4"/>
      <c r="CH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Z61" s="4"/>
      <c r="DA61" s="149">
        <v>1</v>
      </c>
      <c r="DB61" s="149">
        <v>1</v>
      </c>
      <c r="DC61" s="149">
        <v>1</v>
      </c>
      <c r="DD61" s="149">
        <v>1</v>
      </c>
      <c r="DE61" s="149">
        <v>1</v>
      </c>
      <c r="DF61" s="149">
        <v>1</v>
      </c>
      <c r="DG61" s="149">
        <v>1</v>
      </c>
      <c r="DH61" s="149">
        <v>1</v>
      </c>
      <c r="DI61" s="149">
        <v>1</v>
      </c>
      <c r="DJ61" s="149">
        <v>1</v>
      </c>
      <c r="DK61" s="149">
        <v>1</v>
      </c>
      <c r="DL61" s="149">
        <v>1</v>
      </c>
      <c r="DM61" s="4"/>
    </row>
    <row r="62" spans="2:117" ht="14.25" customHeight="1" x14ac:dyDescent="0.3">
      <c r="B62" s="3">
        <v>0.61458333333333404</v>
      </c>
      <c r="D62" s="4"/>
      <c r="E62" s="4"/>
      <c r="F62" s="4"/>
      <c r="G62" s="4"/>
      <c r="H62" s="4"/>
      <c r="I62" s="4"/>
      <c r="K62" s="4">
        <v>1</v>
      </c>
      <c r="L62" s="4">
        <v>1</v>
      </c>
      <c r="M62" s="4"/>
      <c r="N62" s="4"/>
      <c r="O62" s="4"/>
      <c r="P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K62" s="4"/>
      <c r="BL62" s="4">
        <v>0.1</v>
      </c>
      <c r="BM62" s="4">
        <v>0.1</v>
      </c>
      <c r="BN62" s="4"/>
      <c r="BO62" s="149">
        <v>0.1</v>
      </c>
      <c r="BP62" s="4"/>
      <c r="BQ62" s="4"/>
      <c r="BR62" s="4">
        <v>1</v>
      </c>
      <c r="BS62" s="4"/>
      <c r="BT62" s="4"/>
      <c r="BU62" s="4"/>
      <c r="BY62" s="1"/>
      <c r="BZ62" s="1"/>
      <c r="CA62" s="4">
        <v>1</v>
      </c>
      <c r="CB62" s="4"/>
      <c r="CC62" s="4"/>
      <c r="CD62" s="4"/>
      <c r="CE62" s="4"/>
      <c r="CF62" s="4"/>
      <c r="CG62" s="4"/>
      <c r="CH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Z62" s="4"/>
      <c r="DA62" s="149">
        <v>1</v>
      </c>
      <c r="DB62" s="149">
        <v>1</v>
      </c>
      <c r="DC62" s="149">
        <v>1</v>
      </c>
      <c r="DD62" s="149">
        <v>1</v>
      </c>
      <c r="DE62" s="149">
        <v>1</v>
      </c>
      <c r="DF62" s="149">
        <v>1</v>
      </c>
      <c r="DG62" s="149">
        <v>1</v>
      </c>
      <c r="DH62" s="149">
        <v>1</v>
      </c>
      <c r="DI62" s="149">
        <v>1</v>
      </c>
      <c r="DJ62" s="149">
        <v>1</v>
      </c>
      <c r="DK62" s="149">
        <v>1</v>
      </c>
      <c r="DL62" s="149">
        <v>1</v>
      </c>
      <c r="DM62" s="4"/>
    </row>
    <row r="63" spans="2:117" ht="14.25" customHeight="1" x14ac:dyDescent="0.3">
      <c r="B63" s="3">
        <v>0.625</v>
      </c>
      <c r="D63" s="4"/>
      <c r="E63" s="4"/>
      <c r="F63" s="4"/>
      <c r="G63" s="4"/>
      <c r="H63" s="4"/>
      <c r="I63" s="4"/>
      <c r="K63" s="4">
        <v>1</v>
      </c>
      <c r="L63" s="4">
        <v>1</v>
      </c>
      <c r="M63" s="4"/>
      <c r="N63" s="4"/>
      <c r="O63" s="4"/>
      <c r="P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K63" s="4"/>
      <c r="BL63" s="4">
        <v>0.1</v>
      </c>
      <c r="BM63" s="4">
        <v>0.1</v>
      </c>
      <c r="BN63" s="4"/>
      <c r="BO63" s="149">
        <v>0.1</v>
      </c>
      <c r="BP63" s="4"/>
      <c r="BQ63" s="4"/>
      <c r="BR63" s="4">
        <v>1</v>
      </c>
      <c r="BS63" s="4"/>
      <c r="BT63" s="4"/>
      <c r="BU63" s="4"/>
      <c r="BY63" s="1"/>
      <c r="BZ63" s="1"/>
      <c r="CA63" s="4">
        <v>1</v>
      </c>
      <c r="CB63" s="4"/>
      <c r="CC63" s="4"/>
      <c r="CD63" s="4"/>
      <c r="CE63" s="4"/>
      <c r="CF63" s="4"/>
      <c r="CG63" s="4"/>
      <c r="CH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Z63" s="4"/>
      <c r="DA63" s="149">
        <v>1</v>
      </c>
      <c r="DB63" s="149">
        <v>1</v>
      </c>
      <c r="DC63" s="149">
        <v>1</v>
      </c>
      <c r="DD63" s="149">
        <v>1</v>
      </c>
      <c r="DE63" s="149">
        <v>1</v>
      </c>
      <c r="DF63" s="149">
        <v>1</v>
      </c>
      <c r="DG63" s="149">
        <v>1</v>
      </c>
      <c r="DH63" s="149">
        <v>1</v>
      </c>
      <c r="DI63" s="149">
        <v>1</v>
      </c>
      <c r="DJ63" s="149">
        <v>1</v>
      </c>
      <c r="DK63" s="149">
        <v>1</v>
      </c>
      <c r="DL63" s="149">
        <v>1</v>
      </c>
      <c r="DM63" s="4"/>
    </row>
    <row r="64" spans="2:117" ht="14.25" customHeight="1" x14ac:dyDescent="0.3">
      <c r="B64" s="3">
        <v>0.63541666666666696</v>
      </c>
      <c r="D64" s="4"/>
      <c r="E64" s="4"/>
      <c r="F64" s="4"/>
      <c r="G64" s="4"/>
      <c r="H64" s="4"/>
      <c r="I64" s="4"/>
      <c r="K64" s="4">
        <v>1</v>
      </c>
      <c r="L64" s="4">
        <v>1</v>
      </c>
      <c r="M64" s="4"/>
      <c r="N64" s="4"/>
      <c r="O64" s="4"/>
      <c r="P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K64" s="4"/>
      <c r="BL64" s="4">
        <v>0.1</v>
      </c>
      <c r="BM64" s="4">
        <v>0.1</v>
      </c>
      <c r="BN64" s="4"/>
      <c r="BO64" s="149">
        <v>0.1</v>
      </c>
      <c r="BP64" s="4"/>
      <c r="BQ64" s="4"/>
      <c r="BR64" s="4">
        <v>1</v>
      </c>
      <c r="BS64" s="4"/>
      <c r="BT64" s="4"/>
      <c r="BU64" s="4"/>
      <c r="BY64" s="1"/>
      <c r="BZ64" s="1"/>
      <c r="CA64" s="4">
        <v>0.1</v>
      </c>
      <c r="CB64" s="4"/>
      <c r="CC64" s="4"/>
      <c r="CD64" s="4"/>
      <c r="CE64" s="4"/>
      <c r="CF64" s="4"/>
      <c r="CG64" s="4"/>
      <c r="CH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Z64" s="4"/>
      <c r="DA64" s="149">
        <v>1</v>
      </c>
      <c r="DB64" s="149">
        <v>1</v>
      </c>
      <c r="DC64" s="149">
        <v>1</v>
      </c>
      <c r="DD64" s="149">
        <v>1</v>
      </c>
      <c r="DE64" s="149">
        <v>1</v>
      </c>
      <c r="DF64" s="149">
        <v>1</v>
      </c>
      <c r="DG64" s="149">
        <v>1</v>
      </c>
      <c r="DH64" s="149">
        <v>1</v>
      </c>
      <c r="DI64" s="149">
        <v>1</v>
      </c>
      <c r="DJ64" s="149">
        <v>1</v>
      </c>
      <c r="DK64" s="149">
        <v>1</v>
      </c>
      <c r="DL64" s="149">
        <v>1</v>
      </c>
      <c r="DM64" s="4"/>
    </row>
    <row r="65" spans="2:117" ht="14.25" customHeight="1" x14ac:dyDescent="0.3">
      <c r="B65" s="3">
        <v>0.64583333333333404</v>
      </c>
      <c r="D65" s="4"/>
      <c r="E65" s="4"/>
      <c r="F65" s="4"/>
      <c r="G65" s="4"/>
      <c r="H65" s="4"/>
      <c r="I65" s="4"/>
      <c r="K65" s="4">
        <v>1</v>
      </c>
      <c r="L65" s="4">
        <v>1</v>
      </c>
      <c r="M65" s="4"/>
      <c r="N65" s="4"/>
      <c r="O65" s="4"/>
      <c r="P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K65" s="4"/>
      <c r="BL65" s="4">
        <v>0.1</v>
      </c>
      <c r="BM65" s="4">
        <v>0.1</v>
      </c>
      <c r="BN65" s="4"/>
      <c r="BO65" s="149">
        <v>0.1</v>
      </c>
      <c r="BP65" s="4"/>
      <c r="BQ65" s="4"/>
      <c r="BR65" s="4">
        <v>1</v>
      </c>
      <c r="BS65" s="4"/>
      <c r="BT65" s="4"/>
      <c r="BU65" s="4"/>
      <c r="BY65" s="1"/>
      <c r="BZ65" s="1"/>
      <c r="CA65" s="4">
        <v>0.1</v>
      </c>
      <c r="CB65" s="4"/>
      <c r="CC65" s="4"/>
      <c r="CD65" s="4"/>
      <c r="CE65" s="4"/>
      <c r="CF65" s="4"/>
      <c r="CG65" s="4"/>
      <c r="CH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Z65" s="4"/>
      <c r="DA65" s="149">
        <v>1</v>
      </c>
      <c r="DB65" s="149">
        <v>1</v>
      </c>
      <c r="DC65" s="149">
        <v>1</v>
      </c>
      <c r="DD65" s="149">
        <v>1</v>
      </c>
      <c r="DE65" s="149">
        <v>1</v>
      </c>
      <c r="DF65" s="149">
        <v>1</v>
      </c>
      <c r="DG65" s="149">
        <v>1</v>
      </c>
      <c r="DH65" s="149">
        <v>1</v>
      </c>
      <c r="DI65" s="149">
        <v>1</v>
      </c>
      <c r="DJ65" s="149">
        <v>1</v>
      </c>
      <c r="DK65" s="149">
        <v>1</v>
      </c>
      <c r="DL65" s="149">
        <v>1</v>
      </c>
      <c r="DM65" s="4"/>
    </row>
    <row r="66" spans="2:117" ht="14.25" customHeight="1" x14ac:dyDescent="0.3">
      <c r="B66" s="3">
        <v>0.65625</v>
      </c>
      <c r="D66" s="4"/>
      <c r="E66" s="4"/>
      <c r="F66" s="4"/>
      <c r="G66" s="4"/>
      <c r="H66" s="4"/>
      <c r="I66" s="4"/>
      <c r="K66" s="4">
        <v>1</v>
      </c>
      <c r="L66" s="4">
        <v>1</v>
      </c>
      <c r="M66" s="4"/>
      <c r="N66" s="4"/>
      <c r="O66" s="4"/>
      <c r="P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K66" s="4"/>
      <c r="BL66" s="4">
        <v>0.1</v>
      </c>
      <c r="BM66" s="4">
        <v>0.1</v>
      </c>
      <c r="BN66" s="4"/>
      <c r="BO66" s="149">
        <v>0.1</v>
      </c>
      <c r="BP66" s="4"/>
      <c r="BQ66" s="4"/>
      <c r="BR66" s="4">
        <v>1</v>
      </c>
      <c r="BS66" s="4"/>
      <c r="BT66" s="4"/>
      <c r="BU66" s="4"/>
      <c r="BY66" s="1"/>
      <c r="BZ66" s="1"/>
      <c r="CA66" s="149">
        <v>1</v>
      </c>
      <c r="CB66" s="4"/>
      <c r="CC66" s="4"/>
      <c r="CD66" s="4"/>
      <c r="CE66" s="4"/>
      <c r="CF66" s="4"/>
      <c r="CG66" s="4"/>
      <c r="CH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Z66" s="4"/>
      <c r="DA66" s="149">
        <v>1</v>
      </c>
      <c r="DB66" s="149">
        <v>1</v>
      </c>
      <c r="DC66" s="149">
        <v>1</v>
      </c>
      <c r="DD66" s="149">
        <v>1</v>
      </c>
      <c r="DE66" s="149">
        <v>1</v>
      </c>
      <c r="DF66" s="149">
        <v>1</v>
      </c>
      <c r="DG66" s="149">
        <v>1</v>
      </c>
      <c r="DH66" s="149">
        <v>1</v>
      </c>
      <c r="DI66" s="149">
        <v>1</v>
      </c>
      <c r="DJ66" s="149">
        <v>1</v>
      </c>
      <c r="DK66" s="149">
        <v>1</v>
      </c>
      <c r="DL66" s="149">
        <v>1</v>
      </c>
      <c r="DM66" s="4"/>
    </row>
    <row r="67" spans="2:117" ht="14.25" customHeight="1" x14ac:dyDescent="0.3">
      <c r="B67" s="3">
        <v>0.66666666666666696</v>
      </c>
      <c r="D67" s="4"/>
      <c r="E67" s="4"/>
      <c r="F67" s="4"/>
      <c r="G67" s="4"/>
      <c r="H67" s="4"/>
      <c r="I67" s="4"/>
      <c r="K67" s="4">
        <v>1</v>
      </c>
      <c r="L67" s="4">
        <v>1</v>
      </c>
      <c r="M67" s="4"/>
      <c r="N67" s="4"/>
      <c r="O67" s="4"/>
      <c r="P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K67" s="4"/>
      <c r="BL67" s="4">
        <v>0.1</v>
      </c>
      <c r="BM67" s="4">
        <v>0.1</v>
      </c>
      <c r="BN67" s="4"/>
      <c r="BO67" s="149">
        <v>0.1</v>
      </c>
      <c r="BP67" s="4"/>
      <c r="BQ67" s="4"/>
      <c r="BR67" s="4">
        <v>1</v>
      </c>
      <c r="BS67" s="4"/>
      <c r="BT67" s="4"/>
      <c r="BU67" s="4"/>
      <c r="BY67" s="1"/>
      <c r="BZ67" s="1"/>
      <c r="CA67" s="149">
        <v>1</v>
      </c>
      <c r="CB67" s="4"/>
      <c r="CC67" s="4"/>
      <c r="CD67" s="4"/>
      <c r="CE67" s="4"/>
      <c r="CF67" s="4"/>
      <c r="CG67" s="4"/>
      <c r="CH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Z67" s="4"/>
      <c r="DA67" s="149">
        <v>1</v>
      </c>
      <c r="DB67" s="149">
        <v>1</v>
      </c>
      <c r="DC67" s="149">
        <v>1</v>
      </c>
      <c r="DD67" s="149">
        <v>1</v>
      </c>
      <c r="DE67" s="149">
        <v>1</v>
      </c>
      <c r="DF67" s="149">
        <v>1</v>
      </c>
      <c r="DG67" s="149">
        <v>1</v>
      </c>
      <c r="DH67" s="149">
        <v>1</v>
      </c>
      <c r="DI67" s="149">
        <v>1</v>
      </c>
      <c r="DJ67" s="149">
        <v>1</v>
      </c>
      <c r="DK67" s="149">
        <v>1</v>
      </c>
      <c r="DL67" s="149">
        <v>1</v>
      </c>
      <c r="DM67" s="4"/>
    </row>
    <row r="68" spans="2:117" ht="14.25" customHeight="1" x14ac:dyDescent="0.3">
      <c r="B68" s="3">
        <v>0.67708333333333404</v>
      </c>
      <c r="D68" s="4"/>
      <c r="E68" s="4"/>
      <c r="F68" s="4"/>
      <c r="G68" s="4"/>
      <c r="H68" s="4"/>
      <c r="I68" s="4"/>
      <c r="K68" s="4">
        <v>1</v>
      </c>
      <c r="L68" s="4">
        <v>1</v>
      </c>
      <c r="M68" s="4"/>
      <c r="N68" s="4"/>
      <c r="O68" s="4"/>
      <c r="P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K68" s="4"/>
      <c r="BL68" s="4">
        <v>0.1</v>
      </c>
      <c r="BM68" s="4">
        <v>0.1</v>
      </c>
      <c r="BN68" s="4"/>
      <c r="BO68" s="149">
        <v>0.1</v>
      </c>
      <c r="BP68" s="4"/>
      <c r="BQ68" s="4"/>
      <c r="BR68" s="4">
        <v>1</v>
      </c>
      <c r="BS68" s="4"/>
      <c r="BT68" s="4"/>
      <c r="BU68" s="4"/>
      <c r="BY68" s="1"/>
      <c r="BZ68" s="1"/>
      <c r="CA68" s="4">
        <v>0.1</v>
      </c>
      <c r="CB68" s="4"/>
      <c r="CC68" s="4"/>
      <c r="CD68" s="4"/>
      <c r="CE68" s="4"/>
      <c r="CF68" s="4"/>
      <c r="CG68" s="4"/>
      <c r="CH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Z68" s="4"/>
      <c r="DA68" s="149">
        <v>1</v>
      </c>
      <c r="DB68" s="149">
        <v>1</v>
      </c>
      <c r="DC68" s="149">
        <v>1</v>
      </c>
      <c r="DD68" s="149">
        <v>1</v>
      </c>
      <c r="DE68" s="149">
        <v>1</v>
      </c>
      <c r="DF68" s="149">
        <v>1</v>
      </c>
      <c r="DG68" s="149">
        <v>1</v>
      </c>
      <c r="DH68" s="149">
        <v>1</v>
      </c>
      <c r="DI68" s="149">
        <v>1</v>
      </c>
      <c r="DJ68" s="149">
        <v>1</v>
      </c>
      <c r="DK68" s="149">
        <v>1</v>
      </c>
      <c r="DL68" s="149">
        <v>1</v>
      </c>
      <c r="DM68" s="4"/>
    </row>
    <row r="69" spans="2:117" ht="14.25" customHeight="1" x14ac:dyDescent="0.3">
      <c r="B69" s="3">
        <v>0.6875</v>
      </c>
      <c r="D69" s="4"/>
      <c r="E69" s="4"/>
      <c r="F69" s="4"/>
      <c r="G69" s="4"/>
      <c r="H69" s="4"/>
      <c r="I69" s="4"/>
      <c r="K69" s="4">
        <v>1</v>
      </c>
      <c r="L69" s="4">
        <v>1</v>
      </c>
      <c r="M69" s="4"/>
      <c r="N69" s="4"/>
      <c r="O69" s="4"/>
      <c r="P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K69" s="4"/>
      <c r="BL69" s="4">
        <v>0.1</v>
      </c>
      <c r="BM69" s="4">
        <v>0.1</v>
      </c>
      <c r="BN69" s="4"/>
      <c r="BO69" s="149">
        <v>0.1</v>
      </c>
      <c r="BP69" s="4"/>
      <c r="BQ69" s="4"/>
      <c r="BR69" s="4">
        <v>1</v>
      </c>
      <c r="BS69" s="4"/>
      <c r="BT69" s="4"/>
      <c r="BU69" s="4"/>
      <c r="BY69" s="1"/>
      <c r="BZ69" s="1"/>
      <c r="CA69" s="4">
        <v>0.1</v>
      </c>
      <c r="CB69" s="4"/>
      <c r="CC69" s="4"/>
      <c r="CD69" s="4"/>
      <c r="CE69" s="4"/>
      <c r="CF69" s="4"/>
      <c r="CG69" s="4"/>
      <c r="CH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Z69" s="4"/>
      <c r="DA69" s="149">
        <v>1</v>
      </c>
      <c r="DB69" s="149">
        <v>1</v>
      </c>
      <c r="DC69" s="149">
        <v>1</v>
      </c>
      <c r="DD69" s="149">
        <v>1</v>
      </c>
      <c r="DE69" s="149">
        <v>1</v>
      </c>
      <c r="DF69" s="149">
        <v>1</v>
      </c>
      <c r="DG69" s="149">
        <v>1</v>
      </c>
      <c r="DH69" s="149">
        <v>1</v>
      </c>
      <c r="DI69" s="149">
        <v>1</v>
      </c>
      <c r="DJ69" s="149">
        <v>1</v>
      </c>
      <c r="DK69" s="149">
        <v>1</v>
      </c>
      <c r="DL69" s="149">
        <v>1</v>
      </c>
      <c r="DM69" s="4"/>
    </row>
    <row r="70" spans="2:117" ht="14.25" customHeight="1" x14ac:dyDescent="0.3">
      <c r="B70" s="3">
        <v>0.69791666666666696</v>
      </c>
      <c r="D70" s="4"/>
      <c r="E70" s="4"/>
      <c r="F70" s="4"/>
      <c r="G70" s="4"/>
      <c r="H70" s="4"/>
      <c r="I70" s="4"/>
      <c r="K70" s="4">
        <v>1</v>
      </c>
      <c r="L70" s="4">
        <v>1</v>
      </c>
      <c r="M70" s="4"/>
      <c r="N70" s="4"/>
      <c r="O70" s="4"/>
      <c r="P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K70" s="4"/>
      <c r="BL70" s="4">
        <v>0.1</v>
      </c>
      <c r="BM70" s="4">
        <v>0.1</v>
      </c>
      <c r="BN70" s="4"/>
      <c r="BO70" s="149">
        <v>0.1</v>
      </c>
      <c r="BP70" s="4"/>
      <c r="BQ70" s="4"/>
      <c r="BR70" s="4">
        <v>1</v>
      </c>
      <c r="BS70" s="4"/>
      <c r="BT70" s="4"/>
      <c r="BU70" s="4"/>
      <c r="BY70" s="1"/>
      <c r="BZ70" s="1"/>
      <c r="CA70" s="4">
        <v>1</v>
      </c>
      <c r="CB70" s="4"/>
      <c r="CC70" s="4"/>
      <c r="CD70" s="4"/>
      <c r="CE70" s="4"/>
      <c r="CF70" s="4"/>
      <c r="CG70" s="4"/>
      <c r="CH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Z70" s="4"/>
      <c r="DA70" s="149">
        <v>1</v>
      </c>
      <c r="DB70" s="149">
        <v>1</v>
      </c>
      <c r="DC70" s="149">
        <v>1</v>
      </c>
      <c r="DD70" s="149">
        <v>1</v>
      </c>
      <c r="DE70" s="149">
        <v>1</v>
      </c>
      <c r="DF70" s="149">
        <v>1</v>
      </c>
      <c r="DG70" s="149">
        <v>1</v>
      </c>
      <c r="DH70" s="149">
        <v>1</v>
      </c>
      <c r="DI70" s="149">
        <v>1</v>
      </c>
      <c r="DJ70" s="149">
        <v>1</v>
      </c>
      <c r="DK70" s="149">
        <v>1</v>
      </c>
      <c r="DL70" s="149">
        <v>1</v>
      </c>
      <c r="DM70" s="4"/>
    </row>
    <row r="71" spans="2:117" ht="14.25" customHeight="1" x14ac:dyDescent="0.3">
      <c r="B71" s="3">
        <v>0.70833333333333404</v>
      </c>
      <c r="D71" s="4"/>
      <c r="E71" s="4"/>
      <c r="F71" s="4"/>
      <c r="G71" s="4"/>
      <c r="H71" s="4"/>
      <c r="I71" s="4"/>
      <c r="K71" s="4">
        <v>1</v>
      </c>
      <c r="L71" s="4">
        <v>1</v>
      </c>
      <c r="M71" s="4"/>
      <c r="N71" s="4"/>
      <c r="O71" s="4"/>
      <c r="P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K71" s="4"/>
      <c r="BL71" s="4">
        <v>0.1</v>
      </c>
      <c r="BM71" s="4">
        <v>0.1</v>
      </c>
      <c r="BN71" s="4"/>
      <c r="BO71" s="149">
        <v>0.1</v>
      </c>
      <c r="BP71" s="4"/>
      <c r="BQ71" s="4"/>
      <c r="BR71" s="4">
        <v>1</v>
      </c>
      <c r="BS71" s="4"/>
      <c r="BT71" s="4"/>
      <c r="BU71" s="4"/>
      <c r="BY71" s="1"/>
      <c r="BZ71" s="1"/>
      <c r="CA71" s="4">
        <v>1</v>
      </c>
      <c r="CB71" s="4"/>
      <c r="CC71" s="4"/>
      <c r="CD71" s="4"/>
      <c r="CE71" s="4"/>
      <c r="CF71" s="4"/>
      <c r="CG71" s="4"/>
      <c r="CH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Z71" s="4"/>
      <c r="DA71" s="149">
        <v>1</v>
      </c>
      <c r="DB71" s="149">
        <v>1</v>
      </c>
      <c r="DC71" s="149">
        <v>1</v>
      </c>
      <c r="DD71" s="149">
        <v>1</v>
      </c>
      <c r="DE71" s="149">
        <v>1</v>
      </c>
      <c r="DF71" s="149">
        <v>1</v>
      </c>
      <c r="DG71" s="149">
        <v>1</v>
      </c>
      <c r="DH71" s="149">
        <v>1</v>
      </c>
      <c r="DI71" s="149">
        <v>1</v>
      </c>
      <c r="DJ71" s="149">
        <v>1</v>
      </c>
      <c r="DK71" s="149">
        <v>1</v>
      </c>
      <c r="DL71" s="149">
        <v>1</v>
      </c>
      <c r="DM71" s="4"/>
    </row>
    <row r="72" spans="2:117" ht="14.25" customHeight="1" x14ac:dyDescent="0.3">
      <c r="B72" s="3">
        <v>0.71875</v>
      </c>
      <c r="D72" s="4"/>
      <c r="E72" s="4"/>
      <c r="F72" s="4"/>
      <c r="G72" s="4"/>
      <c r="H72" s="4"/>
      <c r="I72" s="4"/>
      <c r="K72" s="4">
        <v>1</v>
      </c>
      <c r="L72" s="4">
        <v>1</v>
      </c>
      <c r="M72" s="4"/>
      <c r="N72" s="4"/>
      <c r="O72" s="4"/>
      <c r="P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K72" s="4"/>
      <c r="BL72" s="4">
        <v>1</v>
      </c>
      <c r="BM72" s="4">
        <v>1</v>
      </c>
      <c r="BN72" s="4"/>
      <c r="BO72" s="149">
        <v>0.1</v>
      </c>
      <c r="BP72" s="4"/>
      <c r="BQ72" s="4"/>
      <c r="BR72" s="4">
        <v>1</v>
      </c>
      <c r="BS72" s="4"/>
      <c r="BT72" s="4"/>
      <c r="BU72" s="4"/>
      <c r="BY72" s="1"/>
      <c r="BZ72" s="1"/>
      <c r="CA72" s="4">
        <v>0.1</v>
      </c>
      <c r="CB72" s="4"/>
      <c r="CC72" s="4"/>
      <c r="CD72" s="4"/>
      <c r="CE72" s="4"/>
      <c r="CF72" s="4"/>
      <c r="CG72" s="4"/>
      <c r="CH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Z72" s="4"/>
      <c r="DA72" s="149">
        <v>1</v>
      </c>
      <c r="DB72" s="149">
        <v>1</v>
      </c>
      <c r="DC72" s="149">
        <v>1</v>
      </c>
      <c r="DD72" s="149">
        <v>1</v>
      </c>
      <c r="DE72" s="149">
        <v>1</v>
      </c>
      <c r="DF72" s="149">
        <v>1</v>
      </c>
      <c r="DG72" s="149">
        <v>1</v>
      </c>
      <c r="DH72" s="149">
        <v>1</v>
      </c>
      <c r="DI72" s="149">
        <v>1</v>
      </c>
      <c r="DJ72" s="149">
        <v>1</v>
      </c>
      <c r="DK72" s="149">
        <v>1</v>
      </c>
      <c r="DL72" s="149">
        <v>1</v>
      </c>
      <c r="DM72" s="4"/>
    </row>
    <row r="73" spans="2:117" ht="14.25" customHeight="1" x14ac:dyDescent="0.3">
      <c r="B73" s="3">
        <v>0.72916666666666696</v>
      </c>
      <c r="D73" s="4"/>
      <c r="E73" s="4"/>
      <c r="F73" s="4"/>
      <c r="G73" s="4"/>
      <c r="H73" s="4"/>
      <c r="I73" s="4"/>
      <c r="K73" s="4">
        <v>1</v>
      </c>
      <c r="L73" s="4">
        <v>1</v>
      </c>
      <c r="M73" s="4"/>
      <c r="N73" s="4"/>
      <c r="O73" s="4"/>
      <c r="P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J73" s="4"/>
      <c r="BK73" s="4"/>
      <c r="BL73" s="4">
        <v>1</v>
      </c>
      <c r="BM73" s="4">
        <v>1</v>
      </c>
      <c r="BN73" s="4"/>
      <c r="BO73" s="149">
        <v>0.1</v>
      </c>
      <c r="BP73" s="4"/>
      <c r="BQ73" s="4"/>
      <c r="BR73" s="4">
        <v>1</v>
      </c>
      <c r="BS73" s="4"/>
      <c r="BT73" s="4"/>
      <c r="BU73" s="4"/>
      <c r="BY73" s="1"/>
      <c r="BZ73" s="1"/>
      <c r="CA73" s="4">
        <v>0.1</v>
      </c>
      <c r="CB73" s="4"/>
      <c r="CC73" s="4"/>
      <c r="CD73" s="4"/>
      <c r="CE73" s="4"/>
      <c r="CF73" s="4"/>
      <c r="CG73" s="4"/>
      <c r="CH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Z73" s="4"/>
      <c r="DA73" s="149">
        <v>1</v>
      </c>
      <c r="DB73" s="149">
        <v>1</v>
      </c>
      <c r="DC73" s="149">
        <v>1</v>
      </c>
      <c r="DD73" s="149">
        <v>1</v>
      </c>
      <c r="DE73" s="149">
        <v>1</v>
      </c>
      <c r="DF73" s="149">
        <v>1</v>
      </c>
      <c r="DG73" s="149">
        <v>1</v>
      </c>
      <c r="DH73" s="149">
        <v>1</v>
      </c>
      <c r="DI73" s="149">
        <v>1</v>
      </c>
      <c r="DJ73" s="149">
        <v>1</v>
      </c>
      <c r="DK73" s="149">
        <v>1</v>
      </c>
      <c r="DL73" s="149">
        <v>1</v>
      </c>
      <c r="DM73" s="4"/>
    </row>
    <row r="74" spans="2:117" ht="14.25" customHeight="1" x14ac:dyDescent="0.3">
      <c r="B74" s="3">
        <v>0.73958333333333404</v>
      </c>
      <c r="D74" s="4"/>
      <c r="E74" s="4"/>
      <c r="F74" s="4"/>
      <c r="G74" s="4"/>
      <c r="H74" s="4"/>
      <c r="I74" s="4"/>
      <c r="K74" s="4">
        <v>1</v>
      </c>
      <c r="L74" s="4">
        <v>1</v>
      </c>
      <c r="M74" s="4"/>
      <c r="N74" s="4"/>
      <c r="O74" s="4"/>
      <c r="P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J74" s="4"/>
      <c r="BK74" s="4"/>
      <c r="BL74" s="4">
        <v>1</v>
      </c>
      <c r="BM74" s="4">
        <v>1</v>
      </c>
      <c r="BN74" s="4"/>
      <c r="BO74" s="149">
        <v>0.1</v>
      </c>
      <c r="BP74" s="4"/>
      <c r="BQ74" s="4"/>
      <c r="BR74" s="4">
        <v>1</v>
      </c>
      <c r="BS74" s="4"/>
      <c r="BT74" s="4"/>
      <c r="BU74" s="4"/>
      <c r="BY74" s="1"/>
      <c r="BZ74" s="1"/>
      <c r="CA74" s="149">
        <v>1</v>
      </c>
      <c r="CB74" s="4"/>
      <c r="CC74" s="4"/>
      <c r="CD74" s="4"/>
      <c r="CE74" s="4"/>
      <c r="CF74" s="4"/>
      <c r="CG74" s="4"/>
      <c r="CH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Z74" s="4"/>
      <c r="DA74" s="149">
        <v>1</v>
      </c>
      <c r="DB74" s="149">
        <v>1</v>
      </c>
      <c r="DC74" s="149">
        <v>1</v>
      </c>
      <c r="DD74" s="149">
        <v>1</v>
      </c>
      <c r="DE74" s="149">
        <v>1</v>
      </c>
      <c r="DF74" s="149">
        <v>1</v>
      </c>
      <c r="DG74" s="149">
        <v>1</v>
      </c>
      <c r="DH74" s="149">
        <v>1</v>
      </c>
      <c r="DI74" s="149">
        <v>1</v>
      </c>
      <c r="DJ74" s="149">
        <v>1</v>
      </c>
      <c r="DK74" s="149">
        <v>1</v>
      </c>
      <c r="DL74" s="149">
        <v>1</v>
      </c>
      <c r="DM74" s="4"/>
    </row>
    <row r="75" spans="2:117" ht="14.25" customHeight="1" x14ac:dyDescent="0.3">
      <c r="B75" s="3">
        <v>0.75</v>
      </c>
      <c r="D75" s="4"/>
      <c r="E75" s="4"/>
      <c r="F75" s="4"/>
      <c r="G75" s="4"/>
      <c r="H75" s="4"/>
      <c r="I75" s="4"/>
      <c r="K75" s="4">
        <v>1</v>
      </c>
      <c r="L75" s="4">
        <v>1</v>
      </c>
      <c r="M75" s="4"/>
      <c r="N75" s="4"/>
      <c r="O75" s="4"/>
      <c r="P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J75" s="4"/>
      <c r="BK75" s="4"/>
      <c r="BL75" s="4">
        <v>1</v>
      </c>
      <c r="BM75" s="4">
        <v>1</v>
      </c>
      <c r="BN75" s="4"/>
      <c r="BO75" s="149">
        <v>1</v>
      </c>
      <c r="BP75" s="4"/>
      <c r="BQ75" s="4"/>
      <c r="BR75" s="4">
        <v>1</v>
      </c>
      <c r="BS75" s="4"/>
      <c r="BT75" s="4"/>
      <c r="BU75" s="4"/>
      <c r="BY75" s="1"/>
      <c r="BZ75" s="1"/>
      <c r="CA75" s="149">
        <v>1</v>
      </c>
      <c r="CB75" s="4"/>
      <c r="CC75" s="4"/>
      <c r="CD75" s="4"/>
      <c r="CE75" s="4"/>
      <c r="CF75" s="4"/>
      <c r="CG75" s="4"/>
      <c r="CH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Z75" s="4"/>
      <c r="DA75" s="149">
        <v>1</v>
      </c>
      <c r="DB75" s="149">
        <v>1</v>
      </c>
      <c r="DC75" s="149">
        <v>1</v>
      </c>
      <c r="DD75" s="149">
        <v>1</v>
      </c>
      <c r="DE75" s="149">
        <v>1</v>
      </c>
      <c r="DF75" s="149">
        <v>1</v>
      </c>
      <c r="DG75" s="149">
        <v>1</v>
      </c>
      <c r="DH75" s="149">
        <v>1</v>
      </c>
      <c r="DI75" s="149">
        <v>1</v>
      </c>
      <c r="DJ75" s="149">
        <v>1</v>
      </c>
      <c r="DK75" s="149">
        <v>1</v>
      </c>
      <c r="DL75" s="149">
        <v>1</v>
      </c>
      <c r="DM75" s="4"/>
    </row>
    <row r="76" spans="2:117" ht="14.25" customHeight="1" x14ac:dyDescent="0.3">
      <c r="B76" s="3">
        <v>0.76041666666666696</v>
      </c>
      <c r="D76" s="4"/>
      <c r="E76" s="4"/>
      <c r="F76" s="4"/>
      <c r="G76" s="4"/>
      <c r="H76" s="4"/>
      <c r="I76" s="4"/>
      <c r="K76" s="4">
        <v>1</v>
      </c>
      <c r="L76" s="4">
        <v>1</v>
      </c>
      <c r="M76" s="4"/>
      <c r="N76" s="4"/>
      <c r="O76" s="4"/>
      <c r="P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J76" s="4"/>
      <c r="BK76" s="4"/>
      <c r="BL76" s="4">
        <v>1</v>
      </c>
      <c r="BM76" s="4">
        <v>1</v>
      </c>
      <c r="BN76" s="4"/>
      <c r="BO76" s="149">
        <v>1</v>
      </c>
      <c r="BP76" s="4"/>
      <c r="BQ76" s="4"/>
      <c r="BR76" s="4">
        <v>1</v>
      </c>
      <c r="BS76" s="4"/>
      <c r="BT76" s="4"/>
      <c r="BU76" s="4"/>
      <c r="BY76" s="1"/>
      <c r="BZ76" s="1"/>
      <c r="CA76" s="4">
        <v>0.1</v>
      </c>
      <c r="CB76" s="4"/>
      <c r="CC76" s="4"/>
      <c r="CD76" s="4"/>
      <c r="CE76" s="4"/>
      <c r="CF76" s="4"/>
      <c r="CG76" s="4"/>
      <c r="CH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Z76" s="4"/>
      <c r="DA76" s="149">
        <v>1</v>
      </c>
      <c r="DB76" s="149">
        <v>1</v>
      </c>
      <c r="DC76" s="149">
        <v>1</v>
      </c>
      <c r="DD76" s="149">
        <v>1</v>
      </c>
      <c r="DE76" s="149">
        <v>1</v>
      </c>
      <c r="DF76" s="149">
        <v>1</v>
      </c>
      <c r="DG76" s="149">
        <v>1</v>
      </c>
      <c r="DH76" s="149">
        <v>1</v>
      </c>
      <c r="DI76" s="149">
        <v>1</v>
      </c>
      <c r="DJ76" s="149">
        <v>1</v>
      </c>
      <c r="DK76" s="149">
        <v>1</v>
      </c>
      <c r="DL76" s="149">
        <v>1</v>
      </c>
      <c r="DM76" s="4"/>
    </row>
    <row r="77" spans="2:117" ht="14.25" customHeight="1" x14ac:dyDescent="0.3">
      <c r="B77" s="3">
        <v>0.77083333333333404</v>
      </c>
      <c r="D77" s="4"/>
      <c r="E77" s="4"/>
      <c r="F77" s="4"/>
      <c r="G77" s="4"/>
      <c r="H77" s="4"/>
      <c r="I77" s="4"/>
      <c r="K77" s="4">
        <v>1</v>
      </c>
      <c r="L77" s="4">
        <v>1</v>
      </c>
      <c r="M77" s="4"/>
      <c r="N77" s="4"/>
      <c r="O77" s="4"/>
      <c r="P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J77" s="4"/>
      <c r="BK77" s="4"/>
      <c r="BL77" s="4">
        <v>1</v>
      </c>
      <c r="BM77" s="4">
        <v>1</v>
      </c>
      <c r="BN77" s="4"/>
      <c r="BO77" s="149">
        <v>1</v>
      </c>
      <c r="BP77" s="4"/>
      <c r="BQ77" s="4"/>
      <c r="BR77" s="4">
        <v>1</v>
      </c>
      <c r="BS77" s="4"/>
      <c r="BT77" s="4"/>
      <c r="BU77" s="4"/>
      <c r="BY77" s="1"/>
      <c r="BZ77" s="1"/>
      <c r="CA77" s="4">
        <v>0.1</v>
      </c>
      <c r="CB77" s="4"/>
      <c r="CC77" s="4"/>
      <c r="CD77" s="4"/>
      <c r="CE77" s="4"/>
      <c r="CF77" s="4"/>
      <c r="CG77" s="4"/>
      <c r="CH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Z77" s="4"/>
      <c r="DA77" s="149">
        <v>1</v>
      </c>
      <c r="DB77" s="149">
        <v>1</v>
      </c>
      <c r="DC77" s="149">
        <v>1</v>
      </c>
      <c r="DD77" s="149">
        <v>1</v>
      </c>
      <c r="DE77" s="149">
        <v>1</v>
      </c>
      <c r="DF77" s="149">
        <v>1</v>
      </c>
      <c r="DG77" s="149">
        <v>1</v>
      </c>
      <c r="DH77" s="149">
        <v>1</v>
      </c>
      <c r="DI77" s="149">
        <v>1</v>
      </c>
      <c r="DJ77" s="149">
        <v>1</v>
      </c>
      <c r="DK77" s="149">
        <v>1</v>
      </c>
      <c r="DL77" s="149">
        <v>1</v>
      </c>
      <c r="DM77" s="4"/>
    </row>
    <row r="78" spans="2:117" ht="14.25" customHeight="1" x14ac:dyDescent="0.3">
      <c r="B78" s="3">
        <v>0.78125</v>
      </c>
      <c r="D78" s="4"/>
      <c r="E78" s="4"/>
      <c r="F78" s="4"/>
      <c r="G78" s="4"/>
      <c r="H78" s="4"/>
      <c r="I78" s="4"/>
      <c r="K78" s="4">
        <v>1</v>
      </c>
      <c r="L78" s="4">
        <v>1</v>
      </c>
      <c r="M78" s="4"/>
      <c r="N78" s="4"/>
      <c r="O78" s="4"/>
      <c r="P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J78" s="4"/>
      <c r="BK78" s="4"/>
      <c r="BL78" s="4">
        <v>1</v>
      </c>
      <c r="BM78" s="4">
        <v>1</v>
      </c>
      <c r="BN78" s="4"/>
      <c r="BO78" s="149">
        <v>1</v>
      </c>
      <c r="BP78" s="4"/>
      <c r="BQ78" s="4"/>
      <c r="BR78" s="4">
        <v>1</v>
      </c>
      <c r="BS78" s="4"/>
      <c r="BT78" s="4"/>
      <c r="BU78" s="4"/>
      <c r="BY78" s="1"/>
      <c r="BZ78" s="1"/>
      <c r="CA78" s="4">
        <v>1</v>
      </c>
      <c r="CB78" s="4"/>
      <c r="CC78" s="4"/>
      <c r="CD78" s="4"/>
      <c r="CE78" s="4"/>
      <c r="CF78" s="4"/>
      <c r="CG78" s="4"/>
      <c r="CH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Z78" s="4"/>
      <c r="DA78" s="149">
        <v>1</v>
      </c>
      <c r="DB78" s="149">
        <v>1</v>
      </c>
      <c r="DC78" s="149">
        <v>1</v>
      </c>
      <c r="DD78" s="149">
        <v>1</v>
      </c>
      <c r="DE78" s="149">
        <v>1</v>
      </c>
      <c r="DF78" s="149">
        <v>1</v>
      </c>
      <c r="DG78" s="149">
        <v>1</v>
      </c>
      <c r="DH78" s="149">
        <v>1</v>
      </c>
      <c r="DI78" s="149">
        <v>1</v>
      </c>
      <c r="DJ78" s="149">
        <v>1</v>
      </c>
      <c r="DK78" s="149">
        <v>1</v>
      </c>
      <c r="DL78" s="149">
        <v>1</v>
      </c>
      <c r="DM78" s="4"/>
    </row>
    <row r="79" spans="2:117" ht="14.25" customHeight="1" x14ac:dyDescent="0.3">
      <c r="B79" s="3">
        <v>0.79166666666666696</v>
      </c>
      <c r="D79" s="4"/>
      <c r="E79" s="4"/>
      <c r="F79" s="4"/>
      <c r="G79" s="4"/>
      <c r="H79" s="4"/>
      <c r="I79" s="4"/>
      <c r="K79" s="4">
        <v>1</v>
      </c>
      <c r="L79" s="4">
        <v>1</v>
      </c>
      <c r="M79" s="4"/>
      <c r="N79" s="4"/>
      <c r="O79" s="4"/>
      <c r="P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J79" s="4"/>
      <c r="BK79" s="4"/>
      <c r="BL79" s="4">
        <v>1</v>
      </c>
      <c r="BM79" s="4">
        <v>1</v>
      </c>
      <c r="BN79" s="4"/>
      <c r="BO79" s="149">
        <v>1</v>
      </c>
      <c r="BP79" s="4"/>
      <c r="BQ79" s="4"/>
      <c r="BR79" s="4">
        <v>1</v>
      </c>
      <c r="BS79" s="4"/>
      <c r="BT79" s="4"/>
      <c r="BU79" s="4"/>
      <c r="BY79" s="1"/>
      <c r="BZ79" s="1"/>
      <c r="CA79" s="4">
        <v>1</v>
      </c>
      <c r="CB79" s="4"/>
      <c r="CC79" s="4"/>
      <c r="CD79" s="4"/>
      <c r="CE79" s="4"/>
      <c r="CF79" s="4"/>
      <c r="CG79" s="4"/>
      <c r="CH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Z79" s="4"/>
      <c r="DA79" s="149">
        <v>1</v>
      </c>
      <c r="DB79" s="149">
        <v>1</v>
      </c>
      <c r="DC79" s="149">
        <v>1</v>
      </c>
      <c r="DD79" s="149">
        <v>1</v>
      </c>
      <c r="DE79" s="149">
        <v>1</v>
      </c>
      <c r="DF79" s="149">
        <v>1</v>
      </c>
      <c r="DG79" s="149">
        <v>1</v>
      </c>
      <c r="DH79" s="149">
        <v>1</v>
      </c>
      <c r="DI79" s="149">
        <v>1</v>
      </c>
      <c r="DJ79" s="149">
        <v>1</v>
      </c>
      <c r="DK79" s="149">
        <v>1</v>
      </c>
      <c r="DL79" s="149">
        <v>1</v>
      </c>
      <c r="DM79" s="4"/>
    </row>
    <row r="80" spans="2:117" ht="14.25" customHeight="1" x14ac:dyDescent="0.3">
      <c r="B80" s="3">
        <v>0.80208333333333404</v>
      </c>
      <c r="D80" s="4"/>
      <c r="E80" s="4"/>
      <c r="F80" s="4"/>
      <c r="G80" s="4"/>
      <c r="H80" s="4"/>
      <c r="I80" s="4"/>
      <c r="K80" s="4">
        <v>1</v>
      </c>
      <c r="L80" s="4">
        <v>1</v>
      </c>
      <c r="M80" s="4"/>
      <c r="N80" s="4"/>
      <c r="O80" s="4"/>
      <c r="P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J80" s="4"/>
      <c r="BK80" s="4"/>
      <c r="BL80" s="4">
        <v>1</v>
      </c>
      <c r="BM80" s="4">
        <v>1</v>
      </c>
      <c r="BN80" s="4"/>
      <c r="BO80" s="149">
        <v>1</v>
      </c>
      <c r="BP80" s="4"/>
      <c r="BQ80" s="4"/>
      <c r="BR80" s="4">
        <v>1</v>
      </c>
      <c r="BS80" s="4"/>
      <c r="BT80" s="4"/>
      <c r="BU80" s="4"/>
      <c r="BY80" s="1"/>
      <c r="BZ80" s="1"/>
      <c r="CA80" s="4">
        <v>0.1</v>
      </c>
      <c r="CB80" s="4"/>
      <c r="CC80" s="4"/>
      <c r="CD80" s="4"/>
      <c r="CE80" s="4"/>
      <c r="CF80" s="4"/>
      <c r="CG80" s="4"/>
      <c r="CH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Z80" s="4"/>
      <c r="DA80" s="149">
        <v>1</v>
      </c>
      <c r="DB80" s="149">
        <v>1</v>
      </c>
      <c r="DC80" s="149">
        <v>1</v>
      </c>
      <c r="DD80" s="149">
        <v>1</v>
      </c>
      <c r="DE80" s="149">
        <v>1</v>
      </c>
      <c r="DF80" s="149">
        <v>1</v>
      </c>
      <c r="DG80" s="149">
        <v>1</v>
      </c>
      <c r="DH80" s="149">
        <v>1</v>
      </c>
      <c r="DI80" s="149">
        <v>1</v>
      </c>
      <c r="DJ80" s="149">
        <v>1</v>
      </c>
      <c r="DK80" s="149">
        <v>1</v>
      </c>
      <c r="DL80" s="149">
        <v>1</v>
      </c>
      <c r="DM80" s="4"/>
    </row>
    <row r="81" spans="2:117" ht="14.25" customHeight="1" x14ac:dyDescent="0.3">
      <c r="B81" s="3">
        <v>0.8125</v>
      </c>
      <c r="D81" s="4"/>
      <c r="E81" s="4"/>
      <c r="F81" s="4"/>
      <c r="G81" s="4"/>
      <c r="H81" s="4"/>
      <c r="I81" s="4"/>
      <c r="K81" s="4">
        <v>1</v>
      </c>
      <c r="L81" s="4">
        <v>1</v>
      </c>
      <c r="M81" s="4"/>
      <c r="N81" s="4"/>
      <c r="O81" s="4"/>
      <c r="P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J81" s="4"/>
      <c r="BK81" s="4"/>
      <c r="BL81" s="4">
        <v>1</v>
      </c>
      <c r="BM81" s="4">
        <v>1</v>
      </c>
      <c r="BN81" s="4"/>
      <c r="BO81" s="149">
        <v>1</v>
      </c>
      <c r="BP81" s="4"/>
      <c r="BQ81" s="4"/>
      <c r="BR81" s="4">
        <v>1</v>
      </c>
      <c r="BS81" s="4"/>
      <c r="BT81" s="4"/>
      <c r="BU81" s="4"/>
      <c r="BY81" s="1"/>
      <c r="BZ81" s="1"/>
      <c r="CA81" s="4">
        <v>0.1</v>
      </c>
      <c r="CB81" s="4"/>
      <c r="CC81" s="4"/>
      <c r="CD81" s="4"/>
      <c r="CE81" s="4"/>
      <c r="CF81" s="4"/>
      <c r="CG81" s="4"/>
      <c r="CH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Z81" s="4"/>
      <c r="DA81" s="149">
        <v>1</v>
      </c>
      <c r="DB81" s="149">
        <v>1</v>
      </c>
      <c r="DC81" s="149">
        <v>1</v>
      </c>
      <c r="DD81" s="149">
        <v>1</v>
      </c>
      <c r="DE81" s="149">
        <v>1</v>
      </c>
      <c r="DF81" s="149">
        <v>1</v>
      </c>
      <c r="DG81" s="149">
        <v>1</v>
      </c>
      <c r="DH81" s="149">
        <v>1</v>
      </c>
      <c r="DI81" s="149">
        <v>1</v>
      </c>
      <c r="DJ81" s="149">
        <v>1</v>
      </c>
      <c r="DK81" s="149">
        <v>1</v>
      </c>
      <c r="DL81" s="149">
        <v>1</v>
      </c>
      <c r="DM81" s="4"/>
    </row>
    <row r="82" spans="2:117" ht="14.25" customHeight="1" x14ac:dyDescent="0.3">
      <c r="B82" s="3">
        <v>0.82291666666666696</v>
      </c>
      <c r="D82" s="4"/>
      <c r="E82" s="4"/>
      <c r="F82" s="4"/>
      <c r="G82" s="4"/>
      <c r="H82" s="4"/>
      <c r="I82" s="4"/>
      <c r="K82" s="4">
        <v>1</v>
      </c>
      <c r="L82" s="4">
        <v>1</v>
      </c>
      <c r="M82" s="4"/>
      <c r="N82" s="4"/>
      <c r="O82" s="4"/>
      <c r="P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J82" s="4"/>
      <c r="BK82" s="4"/>
      <c r="BL82" s="4">
        <v>1</v>
      </c>
      <c r="BM82" s="4">
        <v>1</v>
      </c>
      <c r="BN82" s="4"/>
      <c r="BO82" s="149">
        <v>1</v>
      </c>
      <c r="BP82" s="4"/>
      <c r="BQ82" s="4"/>
      <c r="BR82" s="4">
        <v>1</v>
      </c>
      <c r="BS82" s="4"/>
      <c r="BT82" s="4"/>
      <c r="BU82" s="4"/>
      <c r="BY82" s="1"/>
      <c r="BZ82" s="1"/>
      <c r="CA82" s="149">
        <v>1</v>
      </c>
      <c r="CB82" s="4"/>
      <c r="CC82" s="4"/>
      <c r="CD82" s="4"/>
      <c r="CE82" s="4"/>
      <c r="CF82" s="4"/>
      <c r="CG82" s="4"/>
      <c r="CH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Z82" s="4"/>
      <c r="DA82" s="149">
        <v>1</v>
      </c>
      <c r="DB82" s="149">
        <v>1</v>
      </c>
      <c r="DC82" s="149">
        <v>1</v>
      </c>
      <c r="DD82" s="149">
        <v>1</v>
      </c>
      <c r="DE82" s="149">
        <v>1</v>
      </c>
      <c r="DF82" s="149">
        <v>1</v>
      </c>
      <c r="DG82" s="149">
        <v>1</v>
      </c>
      <c r="DH82" s="149">
        <v>1</v>
      </c>
      <c r="DI82" s="149">
        <v>1</v>
      </c>
      <c r="DJ82" s="149">
        <v>1</v>
      </c>
      <c r="DK82" s="149">
        <v>1</v>
      </c>
      <c r="DL82" s="149">
        <v>1</v>
      </c>
      <c r="DM82" s="4"/>
    </row>
    <row r="83" spans="2:117" ht="14.25" customHeight="1" x14ac:dyDescent="0.3">
      <c r="B83" s="3">
        <v>0.83333333333333404</v>
      </c>
      <c r="D83" s="4"/>
      <c r="E83" s="4"/>
      <c r="F83" s="4"/>
      <c r="G83" s="4"/>
      <c r="H83" s="4"/>
      <c r="I83" s="4"/>
      <c r="K83" s="4">
        <v>1</v>
      </c>
      <c r="L83" s="4">
        <v>1</v>
      </c>
      <c r="M83" s="4"/>
      <c r="N83" s="4"/>
      <c r="O83" s="4"/>
      <c r="P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J83" s="4"/>
      <c r="BK83" s="4"/>
      <c r="BL83" s="4">
        <v>1</v>
      </c>
      <c r="BM83" s="4">
        <v>1</v>
      </c>
      <c r="BN83" s="4"/>
      <c r="BO83" s="149">
        <v>1</v>
      </c>
      <c r="BP83" s="4"/>
      <c r="BQ83" s="4"/>
      <c r="BR83" s="4">
        <v>1</v>
      </c>
      <c r="BS83" s="4"/>
      <c r="BT83" s="4"/>
      <c r="BU83" s="4"/>
      <c r="BY83" s="1"/>
      <c r="BZ83" s="1"/>
      <c r="CA83" s="149">
        <v>1</v>
      </c>
      <c r="CB83" s="4"/>
      <c r="CC83" s="4"/>
      <c r="CD83" s="4"/>
      <c r="CE83" s="4"/>
      <c r="CF83" s="4"/>
      <c r="CG83" s="4"/>
      <c r="CH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Z83" s="4"/>
      <c r="DA83" s="149">
        <v>1</v>
      </c>
      <c r="DB83" s="149">
        <v>1</v>
      </c>
      <c r="DC83" s="149">
        <v>1</v>
      </c>
      <c r="DD83" s="149">
        <v>1</v>
      </c>
      <c r="DE83" s="149">
        <v>1</v>
      </c>
      <c r="DF83" s="149">
        <v>1</v>
      </c>
      <c r="DG83" s="149">
        <v>1</v>
      </c>
      <c r="DH83" s="149">
        <v>1</v>
      </c>
      <c r="DI83" s="149">
        <v>1</v>
      </c>
      <c r="DJ83" s="149">
        <v>1</v>
      </c>
      <c r="DK83" s="149">
        <v>1</v>
      </c>
      <c r="DL83" s="149">
        <v>1</v>
      </c>
      <c r="DM83" s="4"/>
    </row>
    <row r="84" spans="2:117" ht="14.25" customHeight="1" x14ac:dyDescent="0.3">
      <c r="B84" s="3">
        <v>0.84375</v>
      </c>
      <c r="D84" s="4"/>
      <c r="E84" s="4"/>
      <c r="F84" s="4"/>
      <c r="G84" s="4"/>
      <c r="H84" s="4"/>
      <c r="I84" s="4"/>
      <c r="K84" s="4">
        <v>1</v>
      </c>
      <c r="L84" s="4">
        <v>1</v>
      </c>
      <c r="M84" s="4"/>
      <c r="N84" s="4"/>
      <c r="O84" s="4"/>
      <c r="P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J84" s="4"/>
      <c r="BK84" s="4"/>
      <c r="BL84" s="4">
        <v>1</v>
      </c>
      <c r="BM84" s="4">
        <v>1</v>
      </c>
      <c r="BN84" s="4"/>
      <c r="BO84" s="149">
        <v>1</v>
      </c>
      <c r="BP84" s="4"/>
      <c r="BQ84" s="4"/>
      <c r="BR84" s="4">
        <v>1</v>
      </c>
      <c r="BS84" s="4"/>
      <c r="BT84" s="4"/>
      <c r="BU84" s="4"/>
      <c r="BY84" s="1"/>
      <c r="BZ84" s="1"/>
      <c r="CA84" s="4">
        <v>0.1</v>
      </c>
      <c r="CB84" s="4"/>
      <c r="CC84" s="4"/>
      <c r="CD84" s="4"/>
      <c r="CE84" s="4"/>
      <c r="CF84" s="4"/>
      <c r="CG84" s="4"/>
      <c r="CH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Z84" s="4"/>
      <c r="DA84" s="149">
        <v>1</v>
      </c>
      <c r="DB84" s="149">
        <v>1</v>
      </c>
      <c r="DC84" s="149">
        <v>1</v>
      </c>
      <c r="DD84" s="149">
        <v>1</v>
      </c>
      <c r="DE84" s="149">
        <v>1</v>
      </c>
      <c r="DF84" s="149">
        <v>1</v>
      </c>
      <c r="DG84" s="149">
        <v>1</v>
      </c>
      <c r="DH84" s="149">
        <v>1</v>
      </c>
      <c r="DI84" s="149">
        <v>1</v>
      </c>
      <c r="DJ84" s="149">
        <v>1</v>
      </c>
      <c r="DK84" s="149">
        <v>1</v>
      </c>
      <c r="DL84" s="149">
        <v>1</v>
      </c>
      <c r="DM84" s="4"/>
    </row>
    <row r="85" spans="2:117" ht="14.25" customHeight="1" x14ac:dyDescent="0.3">
      <c r="B85" s="3">
        <v>0.85416666666666696</v>
      </c>
      <c r="D85" s="4"/>
      <c r="E85" s="4"/>
      <c r="F85" s="4"/>
      <c r="G85" s="4"/>
      <c r="H85" s="4"/>
      <c r="I85" s="4"/>
      <c r="K85" s="4">
        <v>1</v>
      </c>
      <c r="L85" s="4">
        <v>1</v>
      </c>
      <c r="M85" s="4"/>
      <c r="N85" s="4"/>
      <c r="O85" s="4"/>
      <c r="P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J85" s="4"/>
      <c r="BK85" s="4"/>
      <c r="BL85" s="4">
        <v>1</v>
      </c>
      <c r="BM85" s="4">
        <v>1</v>
      </c>
      <c r="BN85" s="4"/>
      <c r="BO85" s="149">
        <v>0.1</v>
      </c>
      <c r="BP85" s="4"/>
      <c r="BQ85" s="4"/>
      <c r="BR85" s="4">
        <v>1</v>
      </c>
      <c r="BS85" s="4"/>
      <c r="BT85" s="4"/>
      <c r="BU85" s="4"/>
      <c r="BY85" s="1"/>
      <c r="BZ85" s="1"/>
      <c r="CA85" s="4">
        <v>0.1</v>
      </c>
      <c r="CB85" s="4"/>
      <c r="CC85" s="4"/>
      <c r="CD85" s="4"/>
      <c r="CE85" s="4"/>
      <c r="CF85" s="4"/>
      <c r="CG85" s="4"/>
      <c r="CH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Z85" s="4"/>
      <c r="DA85" s="149">
        <v>1</v>
      </c>
      <c r="DB85" s="149">
        <v>1</v>
      </c>
      <c r="DC85" s="149">
        <v>1</v>
      </c>
      <c r="DD85" s="149">
        <v>1</v>
      </c>
      <c r="DE85" s="149">
        <v>1</v>
      </c>
      <c r="DF85" s="149">
        <v>1</v>
      </c>
      <c r="DG85" s="149">
        <v>1</v>
      </c>
      <c r="DH85" s="149">
        <v>1</v>
      </c>
      <c r="DI85" s="149">
        <v>1</v>
      </c>
      <c r="DJ85" s="149">
        <v>1</v>
      </c>
      <c r="DK85" s="149">
        <v>1</v>
      </c>
      <c r="DL85" s="149">
        <v>1</v>
      </c>
      <c r="DM85" s="4"/>
    </row>
    <row r="86" spans="2:117" ht="14.25" customHeight="1" x14ac:dyDescent="0.3">
      <c r="B86" s="3">
        <v>0.86458333333333404</v>
      </c>
      <c r="D86" s="4"/>
      <c r="E86" s="4"/>
      <c r="F86" s="4"/>
      <c r="G86" s="4"/>
      <c r="H86" s="4"/>
      <c r="I86" s="4"/>
      <c r="K86" s="4">
        <v>1</v>
      </c>
      <c r="L86" s="4">
        <v>1</v>
      </c>
      <c r="M86" s="4"/>
      <c r="N86" s="4"/>
      <c r="O86" s="4"/>
      <c r="P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J86" s="4"/>
      <c r="BK86" s="4"/>
      <c r="BL86" s="4">
        <v>1</v>
      </c>
      <c r="BM86" s="4">
        <v>1</v>
      </c>
      <c r="BN86" s="4"/>
      <c r="BO86" s="149">
        <v>0.1</v>
      </c>
      <c r="BP86" s="4"/>
      <c r="BQ86" s="4"/>
      <c r="BR86" s="4">
        <v>1</v>
      </c>
      <c r="BS86" s="4"/>
      <c r="BT86" s="4"/>
      <c r="BU86" s="4"/>
      <c r="BY86" s="1"/>
      <c r="BZ86" s="1"/>
      <c r="CA86" s="4">
        <v>1</v>
      </c>
      <c r="CB86" s="4"/>
      <c r="CC86" s="4"/>
      <c r="CD86" s="4"/>
      <c r="CE86" s="4"/>
      <c r="CF86" s="4"/>
      <c r="CG86" s="4"/>
      <c r="CH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Z86" s="4"/>
      <c r="DA86" s="149">
        <v>1</v>
      </c>
      <c r="DB86" s="149">
        <v>1</v>
      </c>
      <c r="DC86" s="149">
        <v>1</v>
      </c>
      <c r="DD86" s="149">
        <v>1</v>
      </c>
      <c r="DE86" s="149">
        <v>1</v>
      </c>
      <c r="DF86" s="149">
        <v>1</v>
      </c>
      <c r="DG86" s="149">
        <v>1</v>
      </c>
      <c r="DH86" s="149">
        <v>1</v>
      </c>
      <c r="DI86" s="149">
        <v>1</v>
      </c>
      <c r="DJ86" s="149">
        <v>1</v>
      </c>
      <c r="DK86" s="149">
        <v>1</v>
      </c>
      <c r="DL86" s="149">
        <v>1</v>
      </c>
      <c r="DM86" s="4"/>
    </row>
    <row r="87" spans="2:117" ht="14.25" customHeight="1" x14ac:dyDescent="0.3">
      <c r="B87" s="3">
        <v>0.875</v>
      </c>
      <c r="D87" s="4"/>
      <c r="E87" s="4"/>
      <c r="F87" s="4"/>
      <c r="G87" s="4"/>
      <c r="H87" s="4"/>
      <c r="I87" s="4"/>
      <c r="K87" s="4">
        <v>1</v>
      </c>
      <c r="L87" s="4">
        <v>1</v>
      </c>
      <c r="M87" s="4"/>
      <c r="N87" s="4"/>
      <c r="O87" s="4"/>
      <c r="P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J87" s="4"/>
      <c r="BK87" s="4"/>
      <c r="BL87" s="4">
        <v>1</v>
      </c>
      <c r="BM87" s="4">
        <v>1</v>
      </c>
      <c r="BN87" s="4"/>
      <c r="BO87" s="149">
        <v>0.1</v>
      </c>
      <c r="BP87" s="4"/>
      <c r="BQ87" s="4"/>
      <c r="BR87" s="4">
        <v>1</v>
      </c>
      <c r="BS87" s="4"/>
      <c r="BT87" s="4"/>
      <c r="BU87" s="4"/>
      <c r="BY87" s="1"/>
      <c r="BZ87" s="1"/>
      <c r="CA87" s="4">
        <v>1</v>
      </c>
      <c r="CB87" s="4"/>
      <c r="CC87" s="4"/>
      <c r="CD87" s="4"/>
      <c r="CE87" s="4"/>
      <c r="CF87" s="4"/>
      <c r="CG87" s="4"/>
      <c r="CH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Z87" s="4"/>
      <c r="DA87" s="149">
        <v>1</v>
      </c>
      <c r="DB87" s="149">
        <v>1</v>
      </c>
      <c r="DC87" s="149">
        <v>1</v>
      </c>
      <c r="DD87" s="149">
        <v>1</v>
      </c>
      <c r="DE87" s="149">
        <v>1</v>
      </c>
      <c r="DF87" s="149">
        <v>1</v>
      </c>
      <c r="DG87" s="149">
        <v>1</v>
      </c>
      <c r="DH87" s="149">
        <v>1</v>
      </c>
      <c r="DI87" s="149">
        <v>1</v>
      </c>
      <c r="DJ87" s="149">
        <v>1</v>
      </c>
      <c r="DK87" s="149">
        <v>1</v>
      </c>
      <c r="DL87" s="149">
        <v>1</v>
      </c>
      <c r="DM87" s="4"/>
    </row>
    <row r="88" spans="2:117" ht="14.25" customHeight="1" x14ac:dyDescent="0.3">
      <c r="B88" s="3">
        <v>0.88541666666666696</v>
      </c>
      <c r="D88" s="4"/>
      <c r="E88" s="4"/>
      <c r="F88" s="4"/>
      <c r="G88" s="4"/>
      <c r="H88" s="4"/>
      <c r="I88" s="4"/>
      <c r="K88" s="4">
        <v>1</v>
      </c>
      <c r="L88" s="4">
        <v>1</v>
      </c>
      <c r="M88" s="4"/>
      <c r="N88" s="4"/>
      <c r="O88" s="4"/>
      <c r="P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J88" s="4"/>
      <c r="BK88" s="4"/>
      <c r="BL88" s="4">
        <v>1</v>
      </c>
      <c r="BM88" s="4">
        <v>1</v>
      </c>
      <c r="BN88" s="4"/>
      <c r="BO88" s="149">
        <v>0.1</v>
      </c>
      <c r="BP88" s="4"/>
      <c r="BQ88" s="4"/>
      <c r="BR88" s="4">
        <v>1</v>
      </c>
      <c r="BS88" s="4"/>
      <c r="BT88" s="4"/>
      <c r="BU88" s="4"/>
      <c r="BY88" s="1"/>
      <c r="BZ88" s="1"/>
      <c r="CA88" s="4">
        <v>0.1</v>
      </c>
      <c r="CB88" s="4"/>
      <c r="CC88" s="4"/>
      <c r="CD88" s="4"/>
      <c r="CE88" s="4"/>
      <c r="CF88" s="4"/>
      <c r="CG88" s="4"/>
      <c r="CH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Z88" s="4"/>
      <c r="DA88" s="149">
        <v>0.1</v>
      </c>
      <c r="DB88" s="149">
        <v>0.1</v>
      </c>
      <c r="DC88" s="149">
        <v>0.1</v>
      </c>
      <c r="DD88" s="149">
        <v>0.1</v>
      </c>
      <c r="DE88" s="149">
        <v>0.1</v>
      </c>
      <c r="DF88" s="149">
        <v>0.1</v>
      </c>
      <c r="DG88" s="149">
        <v>0.1</v>
      </c>
      <c r="DH88" s="149">
        <v>0.1</v>
      </c>
      <c r="DI88" s="149">
        <v>0.1</v>
      </c>
      <c r="DJ88" s="149">
        <v>0.1</v>
      </c>
      <c r="DK88" s="149">
        <v>0.1</v>
      </c>
      <c r="DL88" s="149">
        <v>0.1</v>
      </c>
      <c r="DM88" s="4"/>
    </row>
    <row r="89" spans="2:117" ht="14.25" customHeight="1" x14ac:dyDescent="0.3">
      <c r="B89" s="3">
        <v>0.89583333333333404</v>
      </c>
      <c r="D89" s="4"/>
      <c r="E89" s="4"/>
      <c r="F89" s="4"/>
      <c r="G89" s="4"/>
      <c r="H89" s="4"/>
      <c r="I89" s="4"/>
      <c r="K89" s="4">
        <v>1</v>
      </c>
      <c r="L89" s="4">
        <v>1</v>
      </c>
      <c r="M89" s="4"/>
      <c r="N89" s="4"/>
      <c r="O89" s="4"/>
      <c r="P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J89" s="4"/>
      <c r="BK89" s="4"/>
      <c r="BL89" s="4">
        <v>1</v>
      </c>
      <c r="BM89" s="4">
        <v>1</v>
      </c>
      <c r="BN89" s="4"/>
      <c r="BO89" s="149">
        <v>0.1</v>
      </c>
      <c r="BP89" s="4"/>
      <c r="BQ89" s="4"/>
      <c r="BR89" s="4">
        <v>1</v>
      </c>
      <c r="BS89" s="4"/>
      <c r="BT89" s="4"/>
      <c r="BU89" s="4"/>
      <c r="BY89" s="1"/>
      <c r="BZ89" s="1"/>
      <c r="CA89" s="4">
        <v>0.1</v>
      </c>
      <c r="CB89" s="4"/>
      <c r="CC89" s="4"/>
      <c r="CD89" s="4"/>
      <c r="CE89" s="4"/>
      <c r="CF89" s="4"/>
      <c r="CG89" s="4"/>
      <c r="CH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Z89" s="4"/>
      <c r="DA89" s="149">
        <v>0.1</v>
      </c>
      <c r="DB89" s="149">
        <v>0.1</v>
      </c>
      <c r="DC89" s="149">
        <v>0.1</v>
      </c>
      <c r="DD89" s="149">
        <v>0.1</v>
      </c>
      <c r="DE89" s="149">
        <v>0.1</v>
      </c>
      <c r="DF89" s="149">
        <v>0.1</v>
      </c>
      <c r="DG89" s="149">
        <v>0.1</v>
      </c>
      <c r="DH89" s="149">
        <v>0.1</v>
      </c>
      <c r="DI89" s="149">
        <v>0.1</v>
      </c>
      <c r="DJ89" s="149">
        <v>0.1</v>
      </c>
      <c r="DK89" s="149">
        <v>0.1</v>
      </c>
      <c r="DL89" s="149">
        <v>0.1</v>
      </c>
      <c r="DM89" s="4"/>
    </row>
    <row r="90" spans="2:117" ht="14.25" customHeight="1" x14ac:dyDescent="0.3">
      <c r="B90" s="3">
        <v>0.90625</v>
      </c>
      <c r="D90" s="4"/>
      <c r="E90" s="4"/>
      <c r="F90" s="4"/>
      <c r="G90" s="4"/>
      <c r="H90" s="4"/>
      <c r="I90" s="4"/>
      <c r="K90" s="4">
        <v>1</v>
      </c>
      <c r="L90" s="4">
        <v>1</v>
      </c>
      <c r="M90" s="4"/>
      <c r="N90" s="4"/>
      <c r="O90" s="4"/>
      <c r="P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J90" s="4"/>
      <c r="BK90" s="4"/>
      <c r="BL90" s="4">
        <v>1</v>
      </c>
      <c r="BM90" s="4">
        <v>1</v>
      </c>
      <c r="BN90" s="4"/>
      <c r="BO90" s="149">
        <v>0.1</v>
      </c>
      <c r="BP90" s="4"/>
      <c r="BQ90" s="4"/>
      <c r="BR90" s="4">
        <v>1</v>
      </c>
      <c r="BS90" s="4"/>
      <c r="BT90" s="4"/>
      <c r="BU90" s="4"/>
      <c r="BY90" s="1"/>
      <c r="BZ90" s="1"/>
      <c r="CA90" s="149">
        <v>1</v>
      </c>
      <c r="CB90" s="4"/>
      <c r="CC90" s="4"/>
      <c r="CD90" s="4"/>
      <c r="CE90" s="4"/>
      <c r="CF90" s="4"/>
      <c r="CG90" s="4"/>
      <c r="CH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Z90" s="4"/>
      <c r="DA90" s="149">
        <v>0.1</v>
      </c>
      <c r="DB90" s="149">
        <v>0.1</v>
      </c>
      <c r="DC90" s="149">
        <v>0.1</v>
      </c>
      <c r="DD90" s="149">
        <v>0.1</v>
      </c>
      <c r="DE90" s="149">
        <v>0.1</v>
      </c>
      <c r="DF90" s="149">
        <v>0.1</v>
      </c>
      <c r="DG90" s="149">
        <v>0.1</v>
      </c>
      <c r="DH90" s="149">
        <v>0.1</v>
      </c>
      <c r="DI90" s="149">
        <v>0.1</v>
      </c>
      <c r="DJ90" s="149">
        <v>0.1</v>
      </c>
      <c r="DK90" s="149">
        <v>0.1</v>
      </c>
      <c r="DL90" s="149">
        <v>0.1</v>
      </c>
      <c r="DM90" s="4"/>
    </row>
    <row r="91" spans="2:117" ht="14.25" customHeight="1" x14ac:dyDescent="0.3">
      <c r="B91" s="3">
        <v>0.91666666666666696</v>
      </c>
      <c r="D91" s="4"/>
      <c r="E91" s="4"/>
      <c r="F91" s="4"/>
      <c r="G91" s="4"/>
      <c r="H91" s="4"/>
      <c r="I91" s="4"/>
      <c r="K91" s="4">
        <v>1</v>
      </c>
      <c r="L91" s="4">
        <v>1</v>
      </c>
      <c r="M91" s="4"/>
      <c r="N91" s="4"/>
      <c r="O91" s="4"/>
      <c r="P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J91" s="4"/>
      <c r="BK91" s="4"/>
      <c r="BL91" s="4">
        <v>1</v>
      </c>
      <c r="BM91" s="4">
        <v>1</v>
      </c>
      <c r="BN91" s="4"/>
      <c r="BO91" s="149">
        <v>0.1</v>
      </c>
      <c r="BP91" s="4"/>
      <c r="BQ91" s="4"/>
      <c r="BR91" s="4">
        <v>1</v>
      </c>
      <c r="BS91" s="4"/>
      <c r="BT91" s="4"/>
      <c r="BU91" s="4"/>
      <c r="BY91" s="1"/>
      <c r="BZ91" s="1"/>
      <c r="CA91" s="149">
        <v>1</v>
      </c>
      <c r="CB91" s="4"/>
      <c r="CC91" s="4"/>
      <c r="CD91" s="4"/>
      <c r="CE91" s="4"/>
      <c r="CF91" s="4"/>
      <c r="CG91" s="4"/>
      <c r="CH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Z91" s="4"/>
      <c r="DA91" s="149">
        <v>0.1</v>
      </c>
      <c r="DB91" s="149">
        <v>0.1</v>
      </c>
      <c r="DC91" s="149">
        <v>0.1</v>
      </c>
      <c r="DD91" s="149">
        <v>0.1</v>
      </c>
      <c r="DE91" s="149">
        <v>0.1</v>
      </c>
      <c r="DF91" s="149">
        <v>0.1</v>
      </c>
      <c r="DG91" s="149">
        <v>0.1</v>
      </c>
      <c r="DH91" s="149">
        <v>0.1</v>
      </c>
      <c r="DI91" s="149">
        <v>0.1</v>
      </c>
      <c r="DJ91" s="149">
        <v>0.1</v>
      </c>
      <c r="DK91" s="149">
        <v>0.1</v>
      </c>
      <c r="DL91" s="149">
        <v>0.1</v>
      </c>
      <c r="DM91" s="4"/>
    </row>
    <row r="92" spans="2:117" ht="14.25" customHeight="1" x14ac:dyDescent="0.3">
      <c r="B92" s="3">
        <v>0.92708333333333404</v>
      </c>
      <c r="D92" s="4"/>
      <c r="E92" s="4"/>
      <c r="F92" s="4"/>
      <c r="G92" s="4"/>
      <c r="H92" s="4"/>
      <c r="I92" s="4"/>
      <c r="K92" s="4">
        <v>1</v>
      </c>
      <c r="L92" s="4">
        <v>1</v>
      </c>
      <c r="M92" s="4"/>
      <c r="N92" s="4"/>
      <c r="O92" s="4"/>
      <c r="P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J92" s="4"/>
      <c r="BK92" s="4"/>
      <c r="BL92" s="4">
        <v>1</v>
      </c>
      <c r="BM92" s="4">
        <v>1</v>
      </c>
      <c r="BN92" s="4"/>
      <c r="BO92" s="149">
        <v>0.1</v>
      </c>
      <c r="BP92" s="4"/>
      <c r="BQ92" s="4"/>
      <c r="BR92" s="4">
        <v>1</v>
      </c>
      <c r="BS92" s="4"/>
      <c r="BT92" s="4"/>
      <c r="BU92" s="4"/>
      <c r="BY92" s="1"/>
      <c r="BZ92" s="1"/>
      <c r="CA92" s="4">
        <v>0.1</v>
      </c>
      <c r="CB92" s="4"/>
      <c r="CC92" s="4"/>
      <c r="CD92" s="4"/>
      <c r="CE92" s="4"/>
      <c r="CF92" s="4"/>
      <c r="CG92" s="4"/>
      <c r="CH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Z92" s="4"/>
      <c r="DA92" s="149">
        <v>0.1</v>
      </c>
      <c r="DB92" s="149">
        <v>0.1</v>
      </c>
      <c r="DC92" s="149">
        <v>0.1</v>
      </c>
      <c r="DD92" s="149">
        <v>0.1</v>
      </c>
      <c r="DE92" s="149">
        <v>0.1</v>
      </c>
      <c r="DF92" s="149">
        <v>0.1</v>
      </c>
      <c r="DG92" s="149">
        <v>0.1</v>
      </c>
      <c r="DH92" s="149">
        <v>0.1</v>
      </c>
      <c r="DI92" s="149">
        <v>0.1</v>
      </c>
      <c r="DJ92" s="149">
        <v>0.1</v>
      </c>
      <c r="DK92" s="149">
        <v>0.1</v>
      </c>
      <c r="DL92" s="149">
        <v>0.1</v>
      </c>
      <c r="DM92" s="4"/>
    </row>
    <row r="93" spans="2:117" ht="14.25" customHeight="1" x14ac:dyDescent="0.3">
      <c r="B93" s="3">
        <v>0.9375</v>
      </c>
      <c r="D93" s="4"/>
      <c r="E93" s="4"/>
      <c r="F93" s="4"/>
      <c r="G93" s="4"/>
      <c r="H93" s="4"/>
      <c r="I93" s="4"/>
      <c r="K93" s="4">
        <v>1</v>
      </c>
      <c r="L93" s="4">
        <v>1</v>
      </c>
      <c r="M93" s="4"/>
      <c r="N93" s="4"/>
      <c r="O93" s="4"/>
      <c r="P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J93" s="4"/>
      <c r="BK93" s="4"/>
      <c r="BL93" s="4">
        <v>1</v>
      </c>
      <c r="BM93" s="4">
        <v>1</v>
      </c>
      <c r="BN93" s="4"/>
      <c r="BO93" s="149">
        <v>0.1</v>
      </c>
      <c r="BP93" s="4"/>
      <c r="BQ93" s="4"/>
      <c r="BR93" s="4">
        <v>1</v>
      </c>
      <c r="BS93" s="4"/>
      <c r="BT93" s="4"/>
      <c r="BU93" s="4"/>
      <c r="BY93" s="1"/>
      <c r="BZ93" s="1"/>
      <c r="CA93" s="4">
        <v>0.1</v>
      </c>
      <c r="CB93" s="4"/>
      <c r="CC93" s="4"/>
      <c r="CD93" s="4"/>
      <c r="CE93" s="4"/>
      <c r="CF93" s="4"/>
      <c r="CG93" s="4"/>
      <c r="CH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Z93" s="4"/>
      <c r="DA93" s="149">
        <v>0.1</v>
      </c>
      <c r="DB93" s="149">
        <v>0.1</v>
      </c>
      <c r="DC93" s="149">
        <v>0.1</v>
      </c>
      <c r="DD93" s="149">
        <v>0.1</v>
      </c>
      <c r="DE93" s="149">
        <v>0.1</v>
      </c>
      <c r="DF93" s="149">
        <v>0.1</v>
      </c>
      <c r="DG93" s="149">
        <v>0.1</v>
      </c>
      <c r="DH93" s="149">
        <v>0.1</v>
      </c>
      <c r="DI93" s="149">
        <v>0.1</v>
      </c>
      <c r="DJ93" s="149">
        <v>0.1</v>
      </c>
      <c r="DK93" s="149">
        <v>0.1</v>
      </c>
      <c r="DL93" s="149">
        <v>0.1</v>
      </c>
      <c r="DM93" s="4"/>
    </row>
    <row r="94" spans="2:117" ht="14.25" customHeight="1" x14ac:dyDescent="0.3">
      <c r="B94" s="3">
        <v>0.94791666666666696</v>
      </c>
      <c r="D94" s="4"/>
      <c r="E94" s="4"/>
      <c r="F94" s="4"/>
      <c r="G94" s="4"/>
      <c r="H94" s="4"/>
      <c r="I94" s="4"/>
      <c r="K94" s="4">
        <v>1</v>
      </c>
      <c r="L94" s="4">
        <v>1</v>
      </c>
      <c r="M94" s="4"/>
      <c r="N94" s="4"/>
      <c r="O94" s="4"/>
      <c r="P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K94" s="4"/>
      <c r="BL94" s="4">
        <v>1</v>
      </c>
      <c r="BM94" s="4">
        <v>1</v>
      </c>
      <c r="BN94" s="4"/>
      <c r="BO94" s="149">
        <v>0.1</v>
      </c>
      <c r="BP94" s="4"/>
      <c r="BQ94" s="4"/>
      <c r="BR94" s="4">
        <v>1</v>
      </c>
      <c r="BS94" s="4"/>
      <c r="BT94" s="4"/>
      <c r="BU94" s="4"/>
      <c r="BY94" s="1"/>
      <c r="BZ94" s="1"/>
      <c r="CA94" s="4">
        <v>1</v>
      </c>
      <c r="CB94" s="4"/>
      <c r="CC94" s="4"/>
      <c r="CD94" s="4"/>
      <c r="CE94" s="4"/>
      <c r="CF94" s="4"/>
      <c r="CG94" s="4"/>
      <c r="CH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Z94" s="4"/>
      <c r="DA94" s="149">
        <v>0.1</v>
      </c>
      <c r="DB94" s="149">
        <v>0.1</v>
      </c>
      <c r="DC94" s="149">
        <v>0.1</v>
      </c>
      <c r="DD94" s="149">
        <v>0.1</v>
      </c>
      <c r="DE94" s="149">
        <v>0.1</v>
      </c>
      <c r="DF94" s="149">
        <v>0.1</v>
      </c>
      <c r="DG94" s="149">
        <v>0.1</v>
      </c>
      <c r="DH94" s="149">
        <v>0.1</v>
      </c>
      <c r="DI94" s="149">
        <v>0.1</v>
      </c>
      <c r="DJ94" s="149">
        <v>0.1</v>
      </c>
      <c r="DK94" s="149">
        <v>0.1</v>
      </c>
      <c r="DL94" s="149">
        <v>0.1</v>
      </c>
      <c r="DM94" s="4"/>
    </row>
    <row r="95" spans="2:117" ht="14.25" customHeight="1" x14ac:dyDescent="0.3">
      <c r="B95" s="3">
        <v>0.95833333333333404</v>
      </c>
      <c r="D95" s="4"/>
      <c r="E95" s="4"/>
      <c r="F95" s="4"/>
      <c r="G95" s="4"/>
      <c r="H95" s="4"/>
      <c r="I95" s="4"/>
      <c r="K95" s="4">
        <v>1</v>
      </c>
      <c r="L95" s="4">
        <v>1</v>
      </c>
      <c r="M95" s="4"/>
      <c r="N95" s="4"/>
      <c r="O95" s="4"/>
      <c r="P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K95" s="4"/>
      <c r="BL95" s="4">
        <v>1</v>
      </c>
      <c r="BM95" s="4">
        <v>1</v>
      </c>
      <c r="BN95" s="4"/>
      <c r="BO95" s="149">
        <v>0.1</v>
      </c>
      <c r="BP95" s="4"/>
      <c r="BQ95" s="4"/>
      <c r="BR95" s="4">
        <v>1</v>
      </c>
      <c r="BS95" s="4"/>
      <c r="BT95" s="4"/>
      <c r="BU95" s="4"/>
      <c r="BY95" s="1"/>
      <c r="BZ95" s="1"/>
      <c r="CA95" s="4">
        <v>1</v>
      </c>
      <c r="CB95" s="4"/>
      <c r="CC95" s="4"/>
      <c r="CD95" s="4"/>
      <c r="CE95" s="4"/>
      <c r="CF95" s="4"/>
      <c r="CG95" s="4"/>
      <c r="CH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Z95" s="4"/>
      <c r="DA95" s="149">
        <v>0.1</v>
      </c>
      <c r="DB95" s="149">
        <v>0.1</v>
      </c>
      <c r="DC95" s="149">
        <v>0.1</v>
      </c>
      <c r="DD95" s="149">
        <v>0.1</v>
      </c>
      <c r="DE95" s="149">
        <v>0.1</v>
      </c>
      <c r="DF95" s="149">
        <v>0.1</v>
      </c>
      <c r="DG95" s="149">
        <v>0.1</v>
      </c>
      <c r="DH95" s="149">
        <v>0.1</v>
      </c>
      <c r="DI95" s="149">
        <v>0.1</v>
      </c>
      <c r="DJ95" s="149">
        <v>0.1</v>
      </c>
      <c r="DK95" s="149">
        <v>0.1</v>
      </c>
      <c r="DL95" s="149">
        <v>0.1</v>
      </c>
      <c r="DM95" s="4"/>
    </row>
    <row r="96" spans="2:117" ht="14.25" customHeight="1" x14ac:dyDescent="0.3">
      <c r="B96" s="3">
        <v>0.96875</v>
      </c>
      <c r="D96" s="4"/>
      <c r="E96" s="4"/>
      <c r="F96" s="4"/>
      <c r="G96" s="4"/>
      <c r="H96" s="4"/>
      <c r="I96" s="4"/>
      <c r="K96" s="4">
        <v>1</v>
      </c>
      <c r="L96" s="4">
        <v>1</v>
      </c>
      <c r="M96" s="4"/>
      <c r="N96" s="4"/>
      <c r="O96" s="4"/>
      <c r="P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K96" s="4"/>
      <c r="BL96" s="4">
        <v>1</v>
      </c>
      <c r="BM96" s="4">
        <v>1</v>
      </c>
      <c r="BN96" s="4"/>
      <c r="BO96" s="149">
        <v>0.1</v>
      </c>
      <c r="BP96" s="4"/>
      <c r="BQ96" s="4"/>
      <c r="BR96" s="4">
        <v>1</v>
      </c>
      <c r="BS96" s="4"/>
      <c r="BT96" s="4"/>
      <c r="BU96" s="4"/>
      <c r="BY96" s="1"/>
      <c r="BZ96" s="1"/>
      <c r="CA96" s="4">
        <v>0.1</v>
      </c>
      <c r="CB96" s="4"/>
      <c r="CC96" s="4"/>
      <c r="CD96" s="4"/>
      <c r="CE96" s="4"/>
      <c r="CF96" s="4"/>
      <c r="CG96" s="4"/>
      <c r="CH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Z96" s="4"/>
      <c r="DA96" s="149">
        <v>0.1</v>
      </c>
      <c r="DB96" s="149">
        <v>0.1</v>
      </c>
      <c r="DC96" s="149">
        <v>0.1</v>
      </c>
      <c r="DD96" s="149">
        <v>0.1</v>
      </c>
      <c r="DE96" s="149">
        <v>0.1</v>
      </c>
      <c r="DF96" s="149">
        <v>0.1</v>
      </c>
      <c r="DG96" s="149">
        <v>0.1</v>
      </c>
      <c r="DH96" s="149">
        <v>0.1</v>
      </c>
      <c r="DI96" s="149">
        <v>0.1</v>
      </c>
      <c r="DJ96" s="149">
        <v>0.1</v>
      </c>
      <c r="DK96" s="149">
        <v>0.1</v>
      </c>
      <c r="DL96" s="149">
        <v>0.1</v>
      </c>
      <c r="DM96" s="4"/>
    </row>
    <row r="97" spans="2:117" ht="14.25" customHeight="1" x14ac:dyDescent="0.3">
      <c r="B97" s="3">
        <v>0.97916666666666696</v>
      </c>
      <c r="D97" s="4"/>
      <c r="E97" s="4"/>
      <c r="F97" s="4"/>
      <c r="G97" s="4"/>
      <c r="H97" s="4"/>
      <c r="I97" s="4"/>
      <c r="K97" s="4">
        <v>1</v>
      </c>
      <c r="L97" s="4">
        <v>1</v>
      </c>
      <c r="M97" s="4"/>
      <c r="N97" s="4"/>
      <c r="O97" s="4"/>
      <c r="P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K97" s="4"/>
      <c r="BL97" s="4">
        <v>1</v>
      </c>
      <c r="BM97" s="4">
        <v>1</v>
      </c>
      <c r="BN97" s="4"/>
      <c r="BO97" s="149">
        <v>0.1</v>
      </c>
      <c r="BP97" s="4"/>
      <c r="BQ97" s="4"/>
      <c r="BR97" s="4">
        <v>1</v>
      </c>
      <c r="BS97" s="4"/>
      <c r="BT97" s="4"/>
      <c r="BU97" s="4"/>
      <c r="BY97" s="1"/>
      <c r="BZ97" s="1"/>
      <c r="CA97" s="4">
        <v>0.1</v>
      </c>
      <c r="CB97" s="4"/>
      <c r="CC97" s="4"/>
      <c r="CD97" s="4"/>
      <c r="CE97" s="4"/>
      <c r="CF97" s="4"/>
      <c r="CG97" s="4"/>
      <c r="CH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Z97" s="4"/>
      <c r="DA97" s="149">
        <v>0.1</v>
      </c>
      <c r="DB97" s="149">
        <v>0.1</v>
      </c>
      <c r="DC97" s="149">
        <v>0.1</v>
      </c>
      <c r="DD97" s="149">
        <v>0.1</v>
      </c>
      <c r="DE97" s="149">
        <v>0.1</v>
      </c>
      <c r="DF97" s="149">
        <v>0.1</v>
      </c>
      <c r="DG97" s="149">
        <v>0.1</v>
      </c>
      <c r="DH97" s="149">
        <v>0.1</v>
      </c>
      <c r="DI97" s="149">
        <v>0.1</v>
      </c>
      <c r="DJ97" s="149">
        <v>0.1</v>
      </c>
      <c r="DK97" s="149">
        <v>0.1</v>
      </c>
      <c r="DL97" s="149">
        <v>0.1</v>
      </c>
      <c r="DM97" s="4"/>
    </row>
    <row r="98" spans="2:117" ht="14.25" customHeight="1" x14ac:dyDescent="0.3">
      <c r="B98" s="3">
        <v>0.98958333333333404</v>
      </c>
      <c r="D98" s="4"/>
      <c r="E98" s="4"/>
      <c r="F98" s="4"/>
      <c r="G98" s="4"/>
      <c r="H98" s="4"/>
      <c r="I98" s="4"/>
      <c r="K98" s="4">
        <v>1</v>
      </c>
      <c r="L98" s="4">
        <v>1</v>
      </c>
      <c r="M98" s="4"/>
      <c r="N98" s="4"/>
      <c r="O98" s="4"/>
      <c r="P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K98" s="4"/>
      <c r="BL98" s="4">
        <v>1</v>
      </c>
      <c r="BM98" s="4">
        <v>1</v>
      </c>
      <c r="BN98" s="4"/>
      <c r="BO98" s="149">
        <v>0.1</v>
      </c>
      <c r="BP98" s="4"/>
      <c r="BQ98" s="4"/>
      <c r="BR98" s="4">
        <v>1</v>
      </c>
      <c r="BS98" s="4"/>
      <c r="BT98" s="4"/>
      <c r="BU98" s="4"/>
      <c r="BY98" s="1"/>
      <c r="BZ98" s="1"/>
      <c r="CA98" s="149">
        <v>1</v>
      </c>
      <c r="CB98" s="4"/>
      <c r="CC98" s="4"/>
      <c r="CD98" s="4"/>
      <c r="CE98" s="4"/>
      <c r="CF98" s="4"/>
      <c r="CG98" s="4"/>
      <c r="CH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Z98" s="4"/>
      <c r="DA98" s="149">
        <v>0.1</v>
      </c>
      <c r="DB98" s="149">
        <v>0.1</v>
      </c>
      <c r="DC98" s="149">
        <v>0.1</v>
      </c>
      <c r="DD98" s="149">
        <v>0.1</v>
      </c>
      <c r="DE98" s="149">
        <v>0.1</v>
      </c>
      <c r="DF98" s="149">
        <v>0.1</v>
      </c>
      <c r="DG98" s="149">
        <v>0.1</v>
      </c>
      <c r="DH98" s="149">
        <v>0.1</v>
      </c>
      <c r="DI98" s="149">
        <v>0.1</v>
      </c>
      <c r="DJ98" s="149">
        <v>0.1</v>
      </c>
      <c r="DK98" s="149">
        <v>0.1</v>
      </c>
      <c r="DL98" s="149">
        <v>0.1</v>
      </c>
      <c r="DM98" s="4"/>
    </row>
    <row r="99" spans="2:117" ht="14.25" customHeight="1" x14ac:dyDescent="0.3">
      <c r="B99" s="3">
        <v>1</v>
      </c>
      <c r="D99" s="4"/>
      <c r="E99" s="4"/>
      <c r="F99" s="4"/>
      <c r="G99" s="4"/>
      <c r="H99" s="4"/>
      <c r="I99" s="4"/>
      <c r="K99" s="4">
        <v>1</v>
      </c>
      <c r="L99" s="4">
        <v>1</v>
      </c>
      <c r="M99" s="4"/>
      <c r="N99" s="4"/>
      <c r="O99" s="4"/>
      <c r="P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K99" s="4"/>
      <c r="BL99" s="4">
        <v>1</v>
      </c>
      <c r="BM99" s="4">
        <v>1</v>
      </c>
      <c r="BN99" s="4"/>
      <c r="BO99" s="149">
        <v>0.1</v>
      </c>
      <c r="BP99" s="4"/>
      <c r="BQ99" s="4"/>
      <c r="BR99" s="4">
        <v>1</v>
      </c>
      <c r="BS99" s="4"/>
      <c r="BT99" s="4"/>
      <c r="BU99" s="4"/>
      <c r="BY99" s="1"/>
      <c r="BZ99" s="1"/>
      <c r="CA99" s="149">
        <v>1</v>
      </c>
      <c r="CB99" s="4"/>
      <c r="CC99" s="4"/>
      <c r="CD99" s="4"/>
      <c r="CE99" s="4"/>
      <c r="CF99" s="4"/>
      <c r="CG99" s="4"/>
      <c r="CH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Z99" s="4"/>
      <c r="DA99" s="149">
        <v>0.1</v>
      </c>
      <c r="DB99" s="149">
        <v>0.1</v>
      </c>
      <c r="DC99" s="149">
        <v>0.1</v>
      </c>
      <c r="DD99" s="149">
        <v>0.1</v>
      </c>
      <c r="DE99" s="149">
        <v>0.1</v>
      </c>
      <c r="DF99" s="149">
        <v>0.1</v>
      </c>
      <c r="DG99" s="149">
        <v>0.1</v>
      </c>
      <c r="DH99" s="149">
        <v>0.1</v>
      </c>
      <c r="DI99" s="149">
        <v>0.1</v>
      </c>
      <c r="DJ99" s="149">
        <v>0.1</v>
      </c>
      <c r="DK99" s="149">
        <v>0.1</v>
      </c>
      <c r="DL99" s="149">
        <v>0.1</v>
      </c>
      <c r="DM99" s="4"/>
    </row>
    <row r="100" spans="2:117" ht="14.25" customHeight="1" x14ac:dyDescent="0.3">
      <c r="BL100" s="4"/>
      <c r="CZ100" s="4"/>
      <c r="DA100" s="4"/>
      <c r="DB100" s="4"/>
    </row>
    <row r="101" spans="2:117" ht="14.25" customHeight="1" x14ac:dyDescent="0.3">
      <c r="CZ101" s="4"/>
      <c r="DA101" s="4"/>
      <c r="DB101" s="4"/>
    </row>
    <row r="102" spans="2:117" ht="14.25" customHeight="1" x14ac:dyDescent="0.3">
      <c r="CZ102" s="4"/>
      <c r="DA102" s="4"/>
      <c r="DB102" s="4"/>
    </row>
    <row r="103" spans="2:117" ht="14.25" customHeight="1" x14ac:dyDescent="0.3">
      <c r="CZ103" s="4"/>
      <c r="DA103" s="4"/>
      <c r="DB103" s="4"/>
    </row>
    <row r="104" spans="2:117" ht="14.25" customHeight="1" x14ac:dyDescent="0.3">
      <c r="CZ104" s="4"/>
      <c r="DA104" s="4"/>
      <c r="DB104" s="4"/>
    </row>
    <row r="105" spans="2:117" ht="14.25" customHeight="1" x14ac:dyDescent="0.3">
      <c r="CZ105" s="4"/>
      <c r="DA105" s="4"/>
      <c r="DB105" s="4"/>
    </row>
    <row r="106" spans="2:117" ht="14.25" customHeight="1" x14ac:dyDescent="0.3">
      <c r="CZ106" s="4"/>
      <c r="DA106" s="4"/>
      <c r="DB106" s="4"/>
    </row>
    <row r="107" spans="2:117" ht="14.25" customHeight="1" x14ac:dyDescent="0.3">
      <c r="CZ107" s="4"/>
      <c r="DA107" s="4"/>
      <c r="DB107" s="4"/>
    </row>
    <row r="108" spans="2:117" ht="14.25" customHeight="1" x14ac:dyDescent="0.3">
      <c r="CZ108" s="4"/>
      <c r="DA108" s="4"/>
      <c r="DB108" s="4"/>
    </row>
    <row r="109" spans="2:117" ht="14.25" customHeight="1" x14ac:dyDescent="0.3">
      <c r="CZ109" s="4"/>
      <c r="DA109" s="4"/>
      <c r="DB109" s="4"/>
    </row>
    <row r="110" spans="2:117" ht="14.25" customHeight="1" x14ac:dyDescent="0.3">
      <c r="CZ110" s="4"/>
      <c r="DA110" s="4"/>
      <c r="DB110" s="4"/>
    </row>
    <row r="111" spans="2:117" ht="14.25" customHeight="1" x14ac:dyDescent="0.3">
      <c r="CZ111" s="4"/>
      <c r="DA111" s="4"/>
      <c r="DB111" s="4"/>
    </row>
    <row r="112" spans="2:117" ht="14.25" customHeight="1" x14ac:dyDescent="0.3">
      <c r="CZ112" s="4"/>
      <c r="DA112" s="4"/>
      <c r="DB112" s="4"/>
    </row>
    <row r="113" spans="104:106" ht="14.25" customHeight="1" x14ac:dyDescent="0.3">
      <c r="CZ113" s="4"/>
      <c r="DA113" s="4"/>
      <c r="DB113" s="4"/>
    </row>
    <row r="114" spans="104:106" ht="14.25" customHeight="1" x14ac:dyDescent="0.3">
      <c r="CZ114" s="4"/>
      <c r="DA114" s="4"/>
      <c r="DB114" s="4"/>
    </row>
    <row r="115" spans="104:106" ht="14.25" customHeight="1" x14ac:dyDescent="0.3">
      <c r="CZ115" s="4"/>
      <c r="DA115" s="4"/>
      <c r="DB115" s="4"/>
    </row>
    <row r="116" spans="104:106" ht="14.25" customHeight="1" x14ac:dyDescent="0.3">
      <c r="CZ116" s="4"/>
      <c r="DA116" s="4"/>
      <c r="DB116" s="4"/>
    </row>
    <row r="117" spans="104:106" ht="14.25" customHeight="1" x14ac:dyDescent="0.3">
      <c r="CZ117" s="4"/>
      <c r="DA117" s="4"/>
      <c r="DB117" s="4"/>
    </row>
    <row r="118" spans="104:106" ht="14.25" customHeight="1" x14ac:dyDescent="0.3">
      <c r="CZ118" s="4"/>
      <c r="DA118" s="4"/>
      <c r="DB118" s="4"/>
    </row>
    <row r="119" spans="104:106" ht="14.25" customHeight="1" x14ac:dyDescent="0.3">
      <c r="CZ119" s="4"/>
      <c r="DA119" s="4"/>
      <c r="DB119" s="4"/>
    </row>
    <row r="120" spans="104:106" ht="14.25" customHeight="1" x14ac:dyDescent="0.3">
      <c r="CZ120" s="4"/>
      <c r="DA120" s="4"/>
      <c r="DB120" s="4"/>
    </row>
    <row r="121" spans="104:106" ht="14.25" customHeight="1" x14ac:dyDescent="0.3">
      <c r="CZ121" s="4"/>
      <c r="DA121" s="4"/>
      <c r="DB121" s="4"/>
    </row>
    <row r="122" spans="104:106" ht="14.25" customHeight="1" x14ac:dyDescent="0.3">
      <c r="CZ122" s="4"/>
      <c r="DA122" s="4"/>
      <c r="DB122" s="4"/>
    </row>
    <row r="123" spans="104:106" ht="14.25" customHeight="1" x14ac:dyDescent="0.3">
      <c r="CZ123" s="4"/>
      <c r="DA123" s="4"/>
      <c r="DB123" s="4"/>
    </row>
    <row r="124" spans="104:106" ht="14.25" customHeight="1" x14ac:dyDescent="0.3">
      <c r="CZ124" s="4"/>
      <c r="DA124" s="4"/>
      <c r="DB124" s="4"/>
    </row>
    <row r="125" spans="104:106" ht="14.25" customHeight="1" x14ac:dyDescent="0.3">
      <c r="CZ125" s="4"/>
      <c r="DA125" s="4"/>
      <c r="DB125" s="4"/>
    </row>
    <row r="126" spans="104:106" ht="14.25" customHeight="1" x14ac:dyDescent="0.3"/>
    <row r="127" spans="104:106" ht="14.25" customHeight="1" x14ac:dyDescent="0.3"/>
    <row r="128" spans="104:106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mergeCells count="1">
    <mergeCell ref="D2:DQ2"/>
  </mergeCells>
  <pageMargins left="0.7" right="0.7" top="0.75" bottom="0.75" header="0" footer="0"/>
  <pageSetup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2DC29-B86B-4609-B945-FB9E605799E8}">
  <sheetPr codeName="Sheet6"/>
  <dimension ref="B1:H99"/>
  <sheetViews>
    <sheetView zoomScale="80" zoomScaleNormal="80" workbookViewId="0"/>
  </sheetViews>
  <sheetFormatPr defaultRowHeight="14.4" x14ac:dyDescent="0.3"/>
  <cols>
    <col min="2" max="2" width="11.5546875" customWidth="1"/>
    <col min="4" max="8" width="23.77734375" customWidth="1"/>
  </cols>
  <sheetData>
    <row r="1" spans="2:8" x14ac:dyDescent="0.3">
      <c r="D1" s="246"/>
    </row>
    <row r="2" spans="2:8" x14ac:dyDescent="0.3">
      <c r="D2" s="307" t="s">
        <v>284</v>
      </c>
      <c r="E2" s="308"/>
      <c r="F2" s="308"/>
      <c r="G2" s="308"/>
      <c r="H2" s="308"/>
    </row>
    <row r="3" spans="2:8" ht="28.8" x14ac:dyDescent="0.3">
      <c r="B3" s="8" t="s">
        <v>48</v>
      </c>
      <c r="D3" s="9" t="s">
        <v>3</v>
      </c>
      <c r="E3" s="9" t="s">
        <v>4</v>
      </c>
      <c r="F3" s="10" t="s">
        <v>217</v>
      </c>
      <c r="G3" s="9" t="s">
        <v>5</v>
      </c>
      <c r="H3" s="9" t="s">
        <v>165</v>
      </c>
    </row>
    <row r="4" spans="2:8" x14ac:dyDescent="0.3">
      <c r="B4" s="3">
        <v>1.0416666666666666E-2</v>
      </c>
      <c r="D4">
        <v>1</v>
      </c>
      <c r="E4">
        <v>1</v>
      </c>
      <c r="F4">
        <v>1</v>
      </c>
      <c r="G4">
        <v>1</v>
      </c>
      <c r="H4">
        <v>1</v>
      </c>
    </row>
    <row r="5" spans="2:8" x14ac:dyDescent="0.3">
      <c r="B5" s="3">
        <v>2.0833333333333332E-2</v>
      </c>
      <c r="D5">
        <v>1</v>
      </c>
      <c r="E5">
        <v>1</v>
      </c>
      <c r="F5">
        <v>1</v>
      </c>
      <c r="G5">
        <v>1</v>
      </c>
      <c r="H5">
        <v>1</v>
      </c>
    </row>
    <row r="6" spans="2:8" x14ac:dyDescent="0.3">
      <c r="B6" s="3">
        <v>3.125E-2</v>
      </c>
      <c r="D6">
        <v>1</v>
      </c>
      <c r="E6">
        <v>1</v>
      </c>
      <c r="F6">
        <v>1</v>
      </c>
      <c r="G6">
        <v>1</v>
      </c>
      <c r="H6">
        <v>1</v>
      </c>
    </row>
    <row r="7" spans="2:8" x14ac:dyDescent="0.3">
      <c r="B7" s="3">
        <v>4.1666666666666664E-2</v>
      </c>
      <c r="D7">
        <v>1</v>
      </c>
      <c r="E7">
        <v>1</v>
      </c>
      <c r="F7">
        <v>1</v>
      </c>
      <c r="G7">
        <v>1</v>
      </c>
      <c r="H7">
        <v>1</v>
      </c>
    </row>
    <row r="8" spans="2:8" x14ac:dyDescent="0.3">
      <c r="B8" s="3">
        <v>5.2083333333333336E-2</v>
      </c>
      <c r="D8">
        <v>1</v>
      </c>
      <c r="E8">
        <v>1</v>
      </c>
      <c r="F8">
        <v>1</v>
      </c>
      <c r="G8">
        <v>1</v>
      </c>
      <c r="H8">
        <v>1</v>
      </c>
    </row>
    <row r="9" spans="2:8" x14ac:dyDescent="0.3">
      <c r="B9" s="3">
        <v>6.25E-2</v>
      </c>
      <c r="D9">
        <v>1</v>
      </c>
      <c r="E9">
        <v>1</v>
      </c>
      <c r="F9">
        <v>1</v>
      </c>
      <c r="G9">
        <v>1</v>
      </c>
      <c r="H9">
        <v>1</v>
      </c>
    </row>
    <row r="10" spans="2:8" x14ac:dyDescent="0.3">
      <c r="B10" s="3">
        <v>7.2916666666666699E-2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2:8" x14ac:dyDescent="0.3">
      <c r="B11" s="3">
        <v>8.3333333333333398E-2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2:8" x14ac:dyDescent="0.3">
      <c r="B12" s="3">
        <v>9.375E-2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2:8" x14ac:dyDescent="0.3">
      <c r="B13" s="3">
        <v>0.104166666666667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2:8" x14ac:dyDescent="0.3">
      <c r="B14" s="3">
        <v>0.11458333333333399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2:8" x14ac:dyDescent="0.3">
      <c r="B15" s="3">
        <v>0.125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2:8" x14ac:dyDescent="0.3">
      <c r="B16" s="3">
        <v>0.13541666666666699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2:8" x14ac:dyDescent="0.3">
      <c r="B17" s="3">
        <v>0.14583333333333401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2:8" x14ac:dyDescent="0.3">
      <c r="B18" s="3">
        <v>0.15625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2:8" x14ac:dyDescent="0.3">
      <c r="B19" s="3">
        <v>0.16666666666666699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2:8" x14ac:dyDescent="0.3">
      <c r="B20" s="3">
        <v>0.17708333333333401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2:8" x14ac:dyDescent="0.3">
      <c r="B21" s="3">
        <v>0.1875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2:8" x14ac:dyDescent="0.3">
      <c r="B22" s="3">
        <v>0.19791666666666699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2:8" x14ac:dyDescent="0.3">
      <c r="B23" s="3">
        <v>0.20833333333333401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2:8" x14ac:dyDescent="0.3">
      <c r="B24" s="3">
        <v>0.21875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2:8" x14ac:dyDescent="0.3">
      <c r="B25" s="3">
        <v>0.22916666666666699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2:8" x14ac:dyDescent="0.3">
      <c r="B26" s="3">
        <v>0.23958333333333401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2:8" x14ac:dyDescent="0.3">
      <c r="B27" s="3">
        <v>0.25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2:8" x14ac:dyDescent="0.3">
      <c r="B28" s="3">
        <v>0.26041666666666702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2:8" x14ac:dyDescent="0.3">
      <c r="B29" s="3">
        <v>0.27083333333333398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2:8" x14ac:dyDescent="0.3">
      <c r="B30" s="3">
        <v>0.28125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2:8" x14ac:dyDescent="0.3">
      <c r="B31" s="3">
        <v>0.29166666666666702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2:8" x14ac:dyDescent="0.3">
      <c r="B32" s="3">
        <v>0.30208333333333398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2:8" x14ac:dyDescent="0.3">
      <c r="B33" s="3">
        <v>0.3125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2:8" x14ac:dyDescent="0.3">
      <c r="B34" s="3">
        <v>0.32291666666666702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2:8" x14ac:dyDescent="0.3">
      <c r="B35" s="3">
        <v>0.33333333333333398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2:8" x14ac:dyDescent="0.3">
      <c r="B36" s="3">
        <v>0.34375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2:8" x14ac:dyDescent="0.3">
      <c r="B37" s="3">
        <v>0.35416666666666702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2:8" x14ac:dyDescent="0.3">
      <c r="B38" s="3">
        <v>0.36458333333333398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2:8" x14ac:dyDescent="0.3">
      <c r="B39" s="3">
        <v>0.375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2:8" x14ac:dyDescent="0.3">
      <c r="B40" s="3">
        <v>0.38541666666666702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2:8" x14ac:dyDescent="0.3">
      <c r="B41" s="3">
        <v>0.39583333333333398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2:8" x14ac:dyDescent="0.3">
      <c r="B42" s="3">
        <v>0.40625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2:8" x14ac:dyDescent="0.3">
      <c r="B43" s="3">
        <v>0.41666666666666702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2:8" x14ac:dyDescent="0.3">
      <c r="B44" s="3">
        <v>0.42708333333333398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2:8" x14ac:dyDescent="0.3">
      <c r="B45" s="3">
        <v>0.4375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2:8" x14ac:dyDescent="0.3">
      <c r="B46" s="3">
        <v>0.44791666666666702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2:8" x14ac:dyDescent="0.3">
      <c r="B47" s="3">
        <v>0.45833333333333398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2:8" x14ac:dyDescent="0.3">
      <c r="B48" s="3">
        <v>0.46875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2:8" x14ac:dyDescent="0.3">
      <c r="B49" s="3">
        <v>0.47916666666666702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2:8" x14ac:dyDescent="0.3">
      <c r="B50" s="3">
        <v>0.48958333333333398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2:8" x14ac:dyDescent="0.3">
      <c r="B51" s="3">
        <v>0.5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2:8" x14ac:dyDescent="0.3">
      <c r="B52" s="3">
        <v>0.51041666666666696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2:8" x14ac:dyDescent="0.3">
      <c r="B53" s="3">
        <v>0.52083333333333404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2:8" x14ac:dyDescent="0.3">
      <c r="B54" s="3">
        <v>0.53125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2:8" x14ac:dyDescent="0.3">
      <c r="B55" s="3">
        <v>0.54166666666666696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2:8" x14ac:dyDescent="0.3">
      <c r="B56" s="3">
        <v>0.55208333333333404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2:8" x14ac:dyDescent="0.3">
      <c r="B57" s="3">
        <v>0.5625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2:8" x14ac:dyDescent="0.3">
      <c r="B58" s="3">
        <v>0.57291666666666696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2:8" x14ac:dyDescent="0.3">
      <c r="B59" s="3">
        <v>0.58333333333333404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2:8" x14ac:dyDescent="0.3">
      <c r="B60" s="3">
        <v>0.59375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2:8" x14ac:dyDescent="0.3">
      <c r="B61" s="3">
        <v>0.60416666666666696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2:8" x14ac:dyDescent="0.3">
      <c r="B62" s="3">
        <v>0.61458333333333404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2:8" x14ac:dyDescent="0.3">
      <c r="B63" s="3">
        <v>0.625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2:8" x14ac:dyDescent="0.3">
      <c r="B64" s="3">
        <v>0.63541666666666696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2:8" x14ac:dyDescent="0.3">
      <c r="B65" s="3">
        <v>0.64583333333333404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2:8" x14ac:dyDescent="0.3">
      <c r="B66" s="3">
        <v>0.65625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2:8" x14ac:dyDescent="0.3">
      <c r="B67" s="3">
        <v>0.66666666666666696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2:8" x14ac:dyDescent="0.3">
      <c r="B68" s="3">
        <v>0.67708333333333404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2:8" x14ac:dyDescent="0.3">
      <c r="B69" s="3">
        <v>0.6875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2:8" x14ac:dyDescent="0.3">
      <c r="B70" s="3">
        <v>0.69791666666666696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2:8" x14ac:dyDescent="0.3">
      <c r="B71" s="3">
        <v>0.70833333333333404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2:8" x14ac:dyDescent="0.3">
      <c r="B72" s="3">
        <v>0.71875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2:8" x14ac:dyDescent="0.3">
      <c r="B73" s="3">
        <v>0.72916666666666696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2:8" x14ac:dyDescent="0.3">
      <c r="B74" s="3">
        <v>0.73958333333333404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2:8" x14ac:dyDescent="0.3">
      <c r="B75" s="3">
        <v>0.75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2:8" x14ac:dyDescent="0.3">
      <c r="B76" s="3">
        <v>0.76041666666666696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2:8" x14ac:dyDescent="0.3">
      <c r="B77" s="3">
        <v>0.77083333333333404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2:8" x14ac:dyDescent="0.3">
      <c r="B78" s="3">
        <v>0.78125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2:8" x14ac:dyDescent="0.3">
      <c r="B79" s="3">
        <v>0.79166666666666696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2:8" x14ac:dyDescent="0.3">
      <c r="B80" s="3">
        <v>0.80208333333333404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2:8" x14ac:dyDescent="0.3">
      <c r="B81" s="3">
        <v>0.8125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2:8" x14ac:dyDescent="0.3">
      <c r="B82" s="3">
        <v>0.82291666666666696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2:8" x14ac:dyDescent="0.3">
      <c r="B83" s="3">
        <v>0.83333333333333404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2:8" x14ac:dyDescent="0.3">
      <c r="B84" s="3">
        <v>0.84375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2:8" x14ac:dyDescent="0.3">
      <c r="B85" s="3">
        <v>0.85416666666666696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2:8" x14ac:dyDescent="0.3">
      <c r="B86" s="3">
        <v>0.86458333333333404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2:8" x14ac:dyDescent="0.3">
      <c r="B87" s="3">
        <v>0.875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2:8" x14ac:dyDescent="0.3">
      <c r="B88" s="3">
        <v>0.88541666666666696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2:8" x14ac:dyDescent="0.3">
      <c r="B89" s="3">
        <v>0.89583333333333404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2:8" x14ac:dyDescent="0.3">
      <c r="B90" s="3">
        <v>0.90625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2:8" x14ac:dyDescent="0.3">
      <c r="B91" s="3">
        <v>0.91666666666666696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2:8" x14ac:dyDescent="0.3">
      <c r="B92" s="3">
        <v>0.92708333333333404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2:8" x14ac:dyDescent="0.3">
      <c r="B93" s="3">
        <v>0.9375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2:8" x14ac:dyDescent="0.3">
      <c r="B94" s="3">
        <v>0.94791666666666696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2:8" x14ac:dyDescent="0.3">
      <c r="B95" s="3">
        <v>0.95833333333333404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2:8" x14ac:dyDescent="0.3">
      <c r="B96" s="3">
        <v>0.96875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2:8" x14ac:dyDescent="0.3">
      <c r="B97" s="3">
        <v>0.97916666666666696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2:8" x14ac:dyDescent="0.3">
      <c r="B98" s="3">
        <v>0.98958333333333404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2:8" x14ac:dyDescent="0.3">
      <c r="B99" s="3">
        <v>1</v>
      </c>
      <c r="D99">
        <v>1</v>
      </c>
      <c r="E99">
        <v>1</v>
      </c>
      <c r="F99">
        <v>1</v>
      </c>
      <c r="G99">
        <v>1</v>
      </c>
      <c r="H99">
        <v>1</v>
      </c>
    </row>
  </sheetData>
  <mergeCells count="1">
    <mergeCell ref="D2: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9</vt:i4>
      </vt:variant>
    </vt:vector>
  </HeadingPairs>
  <TitlesOfParts>
    <vt:vector size="23" baseType="lpstr">
      <vt:lpstr>Glossary</vt:lpstr>
      <vt:lpstr>User Interface</vt:lpstr>
      <vt:lpstr>Calculation Values</vt:lpstr>
      <vt:lpstr>Optimization Results</vt:lpstr>
      <vt:lpstr>A</vt:lpstr>
      <vt:lpstr>b</vt:lpstr>
      <vt:lpstr>c</vt:lpstr>
      <vt:lpstr>List Options</vt:lpstr>
      <vt:lpstr>Actual Home Load Profiles</vt:lpstr>
      <vt:lpstr>PV Profiles</vt:lpstr>
      <vt:lpstr>Temperature Profiles</vt:lpstr>
      <vt:lpstr>HVAC Appliances</vt:lpstr>
      <vt:lpstr>Preferred Appliance Timings</vt:lpstr>
      <vt:lpstr>Preferred Backup Source Timings</vt:lpstr>
      <vt:lpstr>Appliances_List</vt:lpstr>
      <vt:lpstr>Communications_List</vt:lpstr>
      <vt:lpstr>Cooking_List</vt:lpstr>
      <vt:lpstr>Discretionary_Appliances_List</vt:lpstr>
      <vt:lpstr>Entertainment_List</vt:lpstr>
      <vt:lpstr>Food_Preservation_List</vt:lpstr>
      <vt:lpstr>Heating_Cooling_HVAC_List</vt:lpstr>
      <vt:lpstr>Lighting_List</vt:lpstr>
      <vt:lpstr>Water_Wastewater_List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 Daniel</dc:creator>
  <cp:lastModifiedBy>Lea Daniel</cp:lastModifiedBy>
  <cp:lastPrinted>2022-04-07T02:29:58Z</cp:lastPrinted>
  <dcterms:created xsi:type="dcterms:W3CDTF">2022-03-24T03:37:42Z</dcterms:created>
  <dcterms:modified xsi:type="dcterms:W3CDTF">2022-11-18T19:35:36Z</dcterms:modified>
</cp:coreProperties>
</file>